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mhoaeksu/Downloads/"/>
    </mc:Choice>
  </mc:AlternateContent>
  <xr:revisionPtr revIDLastSave="0" documentId="8_{2F692619-9865-9843-99BF-692DD0894D31}" xr6:coauthVersionLast="47" xr6:coauthVersionMax="47" xr10:uidLastSave="{00000000-0000-0000-0000-000000000000}"/>
  <bookViews>
    <workbookView xWindow="0" yWindow="500" windowWidth="23260" windowHeight="12460" firstSheet="6" activeTab="6" xr2:uid="{00000000-000D-0000-FFFF-FFFF00000000}"/>
  </bookViews>
  <sheets>
    <sheet name="Tabla2" sheetId="1" r:id="rId1"/>
    <sheet name="Tabla7" sheetId="2" r:id="rId2"/>
    <sheet name="Tabla13" sheetId="3" r:id="rId3"/>
    <sheet name="Tabla17" sheetId="4" r:id="rId4"/>
    <sheet name="Tabla21" sheetId="5" r:id="rId5"/>
    <sheet name="Hoja1" sheetId="6" r:id="rId6"/>
    <sheet name="Analysis" sheetId="7" r:id="rId7"/>
  </sheets>
  <definedNames>
    <definedName name="DatosExternos_1" localSheetId="2" hidden="1">Tabla13!$A$1:$M$3</definedName>
    <definedName name="DatosExternos_1" localSheetId="3" hidden="1">Tabla17!$A$1:$N$3</definedName>
    <definedName name="DatosExternos_1" localSheetId="0" hidden="1">Tabla2!$A$1:$M$3</definedName>
    <definedName name="DatosExternos_1" localSheetId="4" hidden="1">Tabla21!$A$1:$M$3</definedName>
    <definedName name="DatosExternos_1" localSheetId="1" hidden="1">Tabla7!$A$1:$M$3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9" i="6" l="1"/>
  <c r="V29" i="6"/>
  <c r="T29" i="6"/>
  <c r="R29" i="6"/>
  <c r="P29" i="6"/>
  <c r="N29" i="6"/>
  <c r="L29" i="6"/>
  <c r="J29" i="6"/>
  <c r="H29" i="6"/>
  <c r="F29" i="6"/>
  <c r="D29" i="6"/>
  <c r="X28" i="6"/>
  <c r="V28" i="6"/>
  <c r="T28" i="6"/>
  <c r="R28" i="6"/>
  <c r="P28" i="6"/>
  <c r="N28" i="6"/>
  <c r="L28" i="6"/>
  <c r="J28" i="6"/>
  <c r="H28" i="6"/>
  <c r="F28" i="6"/>
  <c r="D28" i="6"/>
  <c r="B28" i="6"/>
  <c r="AF63" i="7"/>
  <c r="AE63" i="7"/>
  <c r="AD63" i="7"/>
  <c r="AC63" i="7"/>
  <c r="AB63" i="7"/>
  <c r="AA63" i="7"/>
  <c r="Z63" i="7"/>
  <c r="Y63" i="7"/>
  <c r="X63" i="7"/>
  <c r="W63" i="7"/>
  <c r="V63" i="7"/>
  <c r="U63" i="7"/>
  <c r="AF62" i="7"/>
  <c r="AE62" i="7"/>
  <c r="AD62" i="7"/>
  <c r="AC62" i="7"/>
  <c r="AB62" i="7"/>
  <c r="AA62" i="7"/>
  <c r="Z62" i="7"/>
  <c r="Y62" i="7"/>
  <c r="X62" i="7"/>
  <c r="W62" i="7"/>
  <c r="V62" i="7"/>
  <c r="U62" i="7"/>
  <c r="AF58" i="7"/>
  <c r="AE58" i="7"/>
  <c r="AD58" i="7"/>
  <c r="AC58" i="7"/>
  <c r="AB58" i="7"/>
  <c r="AA58" i="7"/>
  <c r="Z58" i="7"/>
  <c r="Y58" i="7"/>
  <c r="X58" i="7"/>
  <c r="W58" i="7"/>
  <c r="V58" i="7"/>
  <c r="U58" i="7"/>
  <c r="AF57" i="7"/>
  <c r="AE57" i="7"/>
  <c r="AD57" i="7"/>
  <c r="AC57" i="7"/>
  <c r="AB57" i="7"/>
  <c r="AA57" i="7"/>
  <c r="Z57" i="7"/>
  <c r="Y57" i="7"/>
  <c r="X57" i="7"/>
  <c r="W57" i="7"/>
  <c r="V57" i="7"/>
  <c r="U57" i="7"/>
  <c r="AF56" i="7"/>
  <c r="AE56" i="7"/>
  <c r="AD56" i="7"/>
  <c r="AC56" i="7"/>
  <c r="AB56" i="7"/>
  <c r="AA56" i="7"/>
  <c r="Z56" i="7"/>
  <c r="Y56" i="7"/>
  <c r="X56" i="7"/>
  <c r="W56" i="7"/>
  <c r="V56" i="7"/>
  <c r="U56" i="7"/>
  <c r="AF55" i="7"/>
  <c r="AE55" i="7"/>
  <c r="AD55" i="7"/>
  <c r="AC55" i="7"/>
  <c r="AB55" i="7"/>
  <c r="AA55" i="7"/>
  <c r="Z55" i="7"/>
  <c r="Y55" i="7"/>
  <c r="X55" i="7"/>
  <c r="W55" i="7"/>
  <c r="V55" i="7"/>
  <c r="U55" i="7"/>
  <c r="AF54" i="7"/>
  <c r="AE54" i="7"/>
  <c r="AD54" i="7"/>
  <c r="AC54" i="7"/>
  <c r="AB54" i="7"/>
  <c r="AA54" i="7"/>
  <c r="Z54" i="7"/>
  <c r="Y54" i="7"/>
  <c r="X54" i="7"/>
  <c r="W54" i="7"/>
  <c r="V54" i="7"/>
  <c r="U54" i="7"/>
  <c r="AF50" i="7"/>
  <c r="AE50" i="7"/>
  <c r="AD50" i="7"/>
  <c r="AC50" i="7"/>
  <c r="AB50" i="7"/>
  <c r="AA50" i="7"/>
  <c r="Z50" i="7"/>
  <c r="Y50" i="7"/>
  <c r="X50" i="7"/>
  <c r="W50" i="7"/>
  <c r="V50" i="7"/>
  <c r="U50" i="7"/>
  <c r="AF49" i="7"/>
  <c r="AE49" i="7"/>
  <c r="AD49" i="7"/>
  <c r="AC49" i="7"/>
  <c r="AB49" i="7"/>
  <c r="AA49" i="7"/>
  <c r="Z49" i="7"/>
  <c r="Y49" i="7"/>
  <c r="X49" i="7"/>
  <c r="W49" i="7"/>
  <c r="V49" i="7"/>
  <c r="U49" i="7"/>
  <c r="AF48" i="7"/>
  <c r="AE48" i="7"/>
  <c r="AD48" i="7"/>
  <c r="AC48" i="7"/>
  <c r="AB48" i="7"/>
  <c r="AA48" i="7"/>
  <c r="Z48" i="7"/>
  <c r="Y48" i="7"/>
  <c r="X48" i="7"/>
  <c r="W48" i="7"/>
  <c r="V48" i="7"/>
  <c r="U48" i="7"/>
  <c r="AF47" i="7"/>
  <c r="AE47" i="7"/>
  <c r="AD47" i="7"/>
  <c r="AC47" i="7"/>
  <c r="AB47" i="7"/>
  <c r="AA47" i="7"/>
  <c r="Z47" i="7"/>
  <c r="Y47" i="7"/>
  <c r="X47" i="7"/>
  <c r="W47" i="7"/>
  <c r="V47" i="7"/>
  <c r="U47" i="7"/>
  <c r="AF46" i="7"/>
  <c r="AE46" i="7"/>
  <c r="AD46" i="7"/>
  <c r="AC46" i="7"/>
  <c r="AB46" i="7"/>
  <c r="AA46" i="7"/>
  <c r="Z46" i="7"/>
  <c r="Y46" i="7"/>
  <c r="X46" i="7"/>
  <c r="W46" i="7"/>
  <c r="V46" i="7"/>
  <c r="U46" i="7"/>
  <c r="AF38" i="7"/>
  <c r="AE38" i="7"/>
  <c r="AD38" i="7"/>
  <c r="AC38" i="7"/>
  <c r="AB38" i="7"/>
  <c r="AA38" i="7"/>
  <c r="Z38" i="7"/>
  <c r="Y38" i="7"/>
  <c r="X38" i="7"/>
  <c r="W38" i="7"/>
  <c r="V38" i="7"/>
  <c r="AG38" i="7" s="1"/>
  <c r="AF37" i="7"/>
  <c r="AE37" i="7"/>
  <c r="AD37" i="7"/>
  <c r="AC37" i="7"/>
  <c r="AB37" i="7"/>
  <c r="AA37" i="7"/>
  <c r="Z37" i="7"/>
  <c r="Y37" i="7"/>
  <c r="X37" i="7"/>
  <c r="W37" i="7"/>
  <c r="V37" i="7"/>
  <c r="AG37" i="7" s="1"/>
  <c r="AF34" i="7"/>
  <c r="AE34" i="7"/>
  <c r="AD34" i="7"/>
  <c r="AC34" i="7"/>
  <c r="AB34" i="7"/>
  <c r="AA34" i="7"/>
  <c r="Z34" i="7"/>
  <c r="Y34" i="7"/>
  <c r="X34" i="7"/>
  <c r="W34" i="7"/>
  <c r="V34" i="7"/>
  <c r="AG34" i="7" s="1"/>
  <c r="AF33" i="7"/>
  <c r="AE33" i="7"/>
  <c r="AD33" i="7"/>
  <c r="AC33" i="7"/>
  <c r="AB33" i="7"/>
  <c r="AA33" i="7"/>
  <c r="Z33" i="7"/>
  <c r="AG33" i="7" s="1"/>
  <c r="Y33" i="7"/>
  <c r="X33" i="7"/>
  <c r="W33" i="7"/>
  <c r="V33" i="7"/>
  <c r="M32" i="7"/>
  <c r="L32" i="7"/>
  <c r="K32" i="7"/>
  <c r="J32" i="7"/>
  <c r="I32" i="7"/>
  <c r="H32" i="7"/>
  <c r="G32" i="7"/>
  <c r="F32" i="7"/>
  <c r="E32" i="7"/>
  <c r="D32" i="7"/>
  <c r="C32" i="7"/>
  <c r="M31" i="7"/>
  <c r="L31" i="7"/>
  <c r="K31" i="7"/>
  <c r="J31" i="7"/>
  <c r="I31" i="7"/>
  <c r="H31" i="7"/>
  <c r="G31" i="7"/>
  <c r="F31" i="7"/>
  <c r="E31" i="7"/>
  <c r="D31" i="7"/>
  <c r="C31" i="7"/>
  <c r="AF30" i="7"/>
  <c r="AE30" i="7"/>
  <c r="AD30" i="7"/>
  <c r="AC30" i="7"/>
  <c r="AB30" i="7"/>
  <c r="AA30" i="7"/>
  <c r="Z30" i="7"/>
  <c r="Y30" i="7"/>
  <c r="X30" i="7"/>
  <c r="W30" i="7"/>
  <c r="V30" i="7"/>
  <c r="AG30" i="7" s="1"/>
  <c r="AF29" i="7"/>
  <c r="AE29" i="7"/>
  <c r="AD29" i="7"/>
  <c r="AC29" i="7"/>
  <c r="AB29" i="7"/>
  <c r="AA29" i="7"/>
  <c r="Z29" i="7"/>
  <c r="Y29" i="7"/>
  <c r="X29" i="7"/>
  <c r="W29" i="7"/>
  <c r="V29" i="7"/>
  <c r="AG29" i="7" s="1"/>
  <c r="M28" i="7"/>
  <c r="L28" i="7"/>
  <c r="K28" i="7"/>
  <c r="J28" i="7"/>
  <c r="I28" i="7"/>
  <c r="H28" i="7"/>
  <c r="G28" i="7"/>
  <c r="F28" i="7"/>
  <c r="E28" i="7"/>
  <c r="D28" i="7"/>
  <c r="C28" i="7"/>
  <c r="N28" i="7" s="1"/>
  <c r="M27" i="7"/>
  <c r="L27" i="7"/>
  <c r="K27" i="7"/>
  <c r="J27" i="7"/>
  <c r="I27" i="7"/>
  <c r="H27" i="7"/>
  <c r="G27" i="7"/>
  <c r="F27" i="7"/>
  <c r="E27" i="7"/>
  <c r="D27" i="7"/>
  <c r="C27" i="7"/>
  <c r="N27" i="7" s="1"/>
  <c r="AF26" i="7"/>
  <c r="AE26" i="7"/>
  <c r="AD26" i="7"/>
  <c r="AC26" i="7"/>
  <c r="AB26" i="7"/>
  <c r="AA26" i="7"/>
  <c r="Z26" i="7"/>
  <c r="Y26" i="7"/>
  <c r="X26" i="7"/>
  <c r="W26" i="7"/>
  <c r="V26" i="7"/>
  <c r="AG26" i="7" s="1"/>
  <c r="AF25" i="7"/>
  <c r="AE25" i="7"/>
  <c r="AD25" i="7"/>
  <c r="AC25" i="7"/>
  <c r="AB25" i="7"/>
  <c r="AA25" i="7"/>
  <c r="Z25" i="7"/>
  <c r="Y25" i="7"/>
  <c r="X25" i="7"/>
  <c r="W25" i="7"/>
  <c r="V25" i="7"/>
  <c r="AG25" i="7" s="1"/>
  <c r="AF22" i="7"/>
  <c r="AE22" i="7"/>
  <c r="AD22" i="7"/>
  <c r="AC22" i="7"/>
  <c r="AB22" i="7"/>
  <c r="AA22" i="7"/>
  <c r="Z22" i="7"/>
  <c r="Y22" i="7"/>
  <c r="X22" i="7"/>
  <c r="W22" i="7"/>
  <c r="V22" i="7"/>
  <c r="AG22" i="7" s="1"/>
  <c r="AF21" i="7"/>
  <c r="AE21" i="7"/>
  <c r="AD21" i="7"/>
  <c r="AC21" i="7"/>
  <c r="AB21" i="7"/>
  <c r="AA21" i="7"/>
  <c r="Z21" i="7"/>
  <c r="Y21" i="7"/>
  <c r="X21" i="7"/>
  <c r="W21" i="7"/>
  <c r="V21" i="7"/>
  <c r="AG21" i="7" s="1"/>
  <c r="AV20" i="7"/>
  <c r="AU20" i="7"/>
  <c r="AT20" i="7"/>
  <c r="M20" i="7"/>
  <c r="M24" i="7" s="1"/>
  <c r="L20" i="7"/>
  <c r="L24" i="7" s="1"/>
  <c r="K20" i="7"/>
  <c r="K24" i="7" s="1"/>
  <c r="J20" i="7"/>
  <c r="J24" i="7" s="1"/>
  <c r="I20" i="7"/>
  <c r="I24" i="7" s="1"/>
  <c r="H20" i="7"/>
  <c r="H24" i="7" s="1"/>
  <c r="G20" i="7"/>
  <c r="G24" i="7" s="1"/>
  <c r="F20" i="7"/>
  <c r="F24" i="7" s="1"/>
  <c r="E20" i="7"/>
  <c r="E24" i="7" s="1"/>
  <c r="D20" i="7"/>
  <c r="D24" i="7" s="1"/>
  <c r="C20" i="7"/>
  <c r="C24" i="7" s="1"/>
  <c r="B20" i="7"/>
  <c r="AV19" i="7"/>
  <c r="AU19" i="7"/>
  <c r="AT19" i="7"/>
  <c r="M19" i="7"/>
  <c r="M23" i="7" s="1"/>
  <c r="L19" i="7"/>
  <c r="L23" i="7" s="1"/>
  <c r="K19" i="7"/>
  <c r="K23" i="7" s="1"/>
  <c r="J19" i="7"/>
  <c r="J23" i="7" s="1"/>
  <c r="I19" i="7"/>
  <c r="I23" i="7" s="1"/>
  <c r="H19" i="7"/>
  <c r="H23" i="7" s="1"/>
  <c r="G19" i="7"/>
  <c r="G23" i="7" s="1"/>
  <c r="F19" i="7"/>
  <c r="F23" i="7" s="1"/>
  <c r="E19" i="7"/>
  <c r="E23" i="7" s="1"/>
  <c r="D19" i="7"/>
  <c r="D23" i="7" s="1"/>
  <c r="C19" i="7"/>
  <c r="C23" i="7" s="1"/>
  <c r="N23" i="7" s="1"/>
  <c r="B19" i="7"/>
  <c r="AV18" i="7"/>
  <c r="AU18" i="7"/>
  <c r="AT18" i="7"/>
  <c r="AV17" i="7"/>
  <c r="AU17" i="7"/>
  <c r="AT17" i="7"/>
  <c r="AV16" i="7"/>
  <c r="AU16" i="7"/>
  <c r="AT16" i="7"/>
  <c r="N16" i="7"/>
  <c r="AV15" i="7"/>
  <c r="AU15" i="7"/>
  <c r="AT15" i="7"/>
  <c r="N15" i="7"/>
  <c r="AV10" i="7"/>
  <c r="AU10" i="7"/>
  <c r="AT10" i="7"/>
  <c r="AV9" i="7"/>
  <c r="AU9" i="7"/>
  <c r="AT9" i="7"/>
  <c r="AV8" i="7"/>
  <c r="AU8" i="7"/>
  <c r="AT8" i="7"/>
  <c r="AV7" i="7"/>
  <c r="AU7" i="7"/>
  <c r="AT7" i="7"/>
  <c r="AV6" i="7"/>
  <c r="AU6" i="7"/>
  <c r="AT6" i="7"/>
  <c r="AV5" i="7" a="1"/>
  <c r="AV5" i="7" s="1"/>
  <c r="AU5" i="7" a="1"/>
  <c r="AU5" i="7" s="1"/>
  <c r="AT5" i="7" a="1"/>
  <c r="AT5" i="7" s="1"/>
  <c r="N24" i="7" l="1"/>
</calcChain>
</file>

<file path=xl/sharedStrings.xml><?xml version="1.0" encoding="utf-8"?>
<sst xmlns="http://schemas.openxmlformats.org/spreadsheetml/2006/main" count="623" uniqueCount="113">
  <si>
    <t>TASK 1</t>
  </si>
  <si>
    <t>1a</t>
  </si>
  <si>
    <t>TASK 2</t>
  </si>
  <si>
    <t>TASK 3</t>
  </si>
  <si>
    <t>Nominal GDP, million euros</t>
  </si>
  <si>
    <t>2012</t>
  </si>
  <si>
    <t>2013</t>
  </si>
  <si>
    <t>2014</t>
  </si>
  <si>
    <t>2015</t>
  </si>
  <si>
    <t>2016</t>
  </si>
  <si>
    <t>2017</t>
  </si>
  <si>
    <t>2018</t>
  </si>
  <si>
    <t>2019</t>
  </si>
  <si>
    <t>2020</t>
  </si>
  <si>
    <t>2021</t>
  </si>
  <si>
    <t>2022</t>
  </si>
  <si>
    <t>2023</t>
  </si>
  <si>
    <t>2a</t>
  </si>
  <si>
    <t>GDP and its components at constant prices, Latvia, millions of dollars</t>
  </si>
  <si>
    <t>rgdpna</t>
  </si>
  <si>
    <t>Latvia</t>
  </si>
  <si>
    <t>Household consumption expenditure (including Non-profit institutions serving households)</t>
  </si>
  <si>
    <t>3a/3b</t>
  </si>
  <si>
    <t>Switzerland</t>
  </si>
  <si>
    <t>General government final consumption expenditure</t>
  </si>
  <si>
    <t>Gross capital formation</t>
  </si>
  <si>
    <t>Real GDP, constant $ per working population (rgdpna/emp)</t>
  </si>
  <si>
    <t>GDP Deflactor</t>
  </si>
  <si>
    <t>Exports of goods and services</t>
  </si>
  <si>
    <t>emp</t>
  </si>
  <si>
    <t>Capital stock, constant $ per working population (rnna/emp)</t>
  </si>
  <si>
    <t>Imports of goods and services</t>
  </si>
  <si>
    <t>Relative weight of gross capital formation (csh_i)</t>
  </si>
  <si>
    <t>Gross Domestic Product (GDP)</t>
  </si>
  <si>
    <t>Human capital index (hc)</t>
  </si>
  <si>
    <t>Capital stock depreciation rate (delta)</t>
  </si>
  <si>
    <t>Consumer Price Index</t>
  </si>
  <si>
    <t>rnna</t>
  </si>
  <si>
    <t>Rate of change in population ((popt / popt-1)-1)*100)</t>
  </si>
  <si>
    <t>GDP and its components at constant prices, Switzerland, millions of dollars</t>
  </si>
  <si>
    <t>Rule of law</t>
  </si>
  <si>
    <t>Corruption index</t>
  </si>
  <si>
    <t>1c</t>
  </si>
  <si>
    <t>Unemployment, as a percentage of the population in the labor force</t>
  </si>
  <si>
    <t>Average</t>
  </si>
  <si>
    <t>csh_i</t>
  </si>
  <si>
    <t>1b</t>
  </si>
  <si>
    <t>Real GDP, (at 2015 prices)</t>
  </si>
  <si>
    <t>hc</t>
  </si>
  <si>
    <t>2b</t>
  </si>
  <si>
    <t>Annual rate household consumption expenditure</t>
  </si>
  <si>
    <t>Std. Deviation</t>
  </si>
  <si>
    <t>Annual rate of change of real GDP, %</t>
  </si>
  <si>
    <t>delta</t>
  </si>
  <si>
    <t>Annual rate general goverment final consumption expenditure</t>
  </si>
  <si>
    <t>Annual inflation rate, CPI</t>
  </si>
  <si>
    <t>Total natural resource revenues (% of GDP</t>
  </si>
  <si>
    <t xml:space="preserve">Annual rate gross capital formation </t>
  </si>
  <si>
    <t>Annual inflation rate, GDP Deflactor</t>
  </si>
  <si>
    <t>rule of law</t>
  </si>
  <si>
    <t>Annual rate exports of goods and services</t>
  </si>
  <si>
    <t xml:space="preserve">1c (ADDED TO THE TABLES ABOVE) </t>
  </si>
  <si>
    <t>Corruption Index</t>
  </si>
  <si>
    <t>Annual rate imports of goods and services</t>
  </si>
  <si>
    <t>pop</t>
  </si>
  <si>
    <t>2c</t>
  </si>
  <si>
    <t>Latvia: We can observe how for the country Latvia, the annual rate of gross capital formation is the one with the highest volatility with a standard deviation of (11), 
followed by both exports and imports (5), then the annual rate of household consumption expenditure (4) and finally the one with the lowest is the annual rate of general goverment consumption expenditure (2). 
Gross Capital formation has the highest standard deviation of annual growth rates which indicates that it's growth fluctuates the most overtime</t>
  </si>
  <si>
    <t>Switzerland: We can observe how for the country Switzerland, the annual rate of exports of goods and services is the one with the highest volatility with a standard deviation of (6), followed by imports (5),
 then the annual rate of gross capital formation  (4) then the annual rate of household consumption expenditure (2) and finally the one with the lowest is the annual rate of general goverment consumption expenditure (1).Exports of Goods and Services has the highest standard deviation of annual growth rates which indicates that it's growth fluctuates the most overtime</t>
  </si>
  <si>
    <t>FIGURE 1</t>
  </si>
  <si>
    <t>LATVIA</t>
  </si>
  <si>
    <t>SWITZERLAND</t>
  </si>
  <si>
    <t>2d</t>
  </si>
  <si>
    <t>Relative weight of each GDP component, Latvia %</t>
  </si>
  <si>
    <t>Relative weight of each GDP component, Switzerland %</t>
  </si>
  <si>
    <t>2e</t>
  </si>
  <si>
    <t>Trade Openess Index</t>
  </si>
  <si>
    <t>FIGURE 2</t>
  </si>
  <si>
    <t>Source: Own elaboration based on Eurostat data</t>
  </si>
  <si>
    <t>FIGURE 3</t>
  </si>
  <si>
    <t>Source: Own elaboration based on UNSTATS data</t>
  </si>
  <si>
    <t>FIGURE 4</t>
  </si>
  <si>
    <t>TIME</t>
  </si>
  <si>
    <t>Columna4</t>
  </si>
  <si>
    <t> </t>
  </si>
  <si>
    <t>Nominal GDP</t>
  </si>
  <si>
    <t>Columna1</t>
  </si>
  <si>
    <t>Columna2</t>
  </si>
  <si>
    <t>Columna3</t>
  </si>
  <si>
    <t>Columna5</t>
  </si>
  <si>
    <t>Columna6</t>
  </si>
  <si>
    <t>Columna7</t>
  </si>
  <si>
    <t>Columna8</t>
  </si>
  <si>
    <t>Columna9</t>
  </si>
  <si>
    <t>Columna10</t>
  </si>
  <si>
    <t>Columna11</t>
  </si>
  <si>
    <t>Columna12</t>
  </si>
  <si>
    <t>Columna13</t>
  </si>
  <si>
    <t>Columna14</t>
  </si>
  <si>
    <t>Columna15</t>
  </si>
  <si>
    <t>Columna16</t>
  </si>
  <si>
    <t>Columna17</t>
  </si>
  <si>
    <t>Columna18</t>
  </si>
  <si>
    <t>Columna19</t>
  </si>
  <si>
    <t>Columna20</t>
  </si>
  <si>
    <t>Columna21</t>
  </si>
  <si>
    <t>Columna22</t>
  </si>
  <si>
    <t>Columna23</t>
  </si>
  <si>
    <t>Columna24</t>
  </si>
  <si>
    <t>Columna25</t>
  </si>
  <si>
    <t>GDP Deflator</t>
  </si>
  <si>
    <t>Countries</t>
  </si>
  <si>
    <t>Unemployment rate</t>
  </si>
  <si>
    <t>Real GDP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</si>
</sst>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0.0%"/>
  </numFmts>
  <fonts count="16">
    <font>
      <sz val="11"/>
      <color theme="1"/>
      <name val="Aptos Narrow"/>
      <family val="2"/>
      <scheme val="minor"/>
    </font>
    <font>
      <b/>
      <sz val="9"/>
      <color rgb="FFFFFFFF"/>
      <name val="Arial"/>
      <family val="2"/>
    </font>
    <font>
      <b/>
      <sz val="9"/>
      <name val="Arial"/>
      <family val="2"/>
    </font>
    <font>
      <sz val="11"/>
      <color rgb="FF000000"/>
      <name val="Aptos Narrow"/>
      <family val="2"/>
    </font>
    <font>
      <sz val="9"/>
      <name val="Arial"/>
      <family val="2"/>
    </font>
    <font>
      <sz val="11"/>
      <color theme="1"/>
      <name val="Aptos Narrow"/>
      <family val="2"/>
      <scheme val="minor"/>
    </font>
    <font>
      <b/>
      <sz val="11"/>
      <color theme="0"/>
      <name val="Aptos Narrow"/>
      <family val="2"/>
      <scheme val="minor"/>
    </font>
    <font>
      <sz val="10"/>
      <color theme="1"/>
      <name val="Arial"/>
      <family val="2"/>
    </font>
    <font>
      <sz val="10"/>
      <color theme="1"/>
      <name val="Arial"/>
      <family val="2"/>
    </font>
    <font>
      <sz val="11"/>
      <name val="Calibri"/>
      <family val="2"/>
    </font>
    <font>
      <sz val="11"/>
      <name val="Calibri"/>
      <family val="2"/>
      <charset val="1"/>
    </font>
    <font>
      <sz val="12"/>
      <color theme="1"/>
      <name val="Calibri"/>
      <family val="2"/>
      <charset val="1"/>
    </font>
    <font>
      <sz val="11"/>
      <name val="Calibri"/>
      <family val="2"/>
    </font>
    <font>
      <sz val="11"/>
      <name val="Calibri"/>
      <family val="2"/>
    </font>
    <font>
      <sz val="12"/>
      <color theme="1"/>
      <name val="Aptos Narrow"/>
      <family val="2"/>
      <scheme val="minor"/>
    </font>
    <font>
      <b/>
      <sz val="9"/>
      <color rgb="FF1B1B1B"/>
      <name val="Tableau Book"/>
    </font>
  </fonts>
  <fills count="8">
    <fill>
      <patternFill patternType="none"/>
    </fill>
    <fill>
      <patternFill patternType="gray125"/>
    </fill>
    <fill>
      <patternFill patternType="solid">
        <fgColor rgb="FF4669AF"/>
        <bgColor rgb="FF000000"/>
      </patternFill>
    </fill>
    <fill>
      <patternFill patternType="solid">
        <fgColor rgb="FF0096DC"/>
        <bgColor rgb="FF000000"/>
      </patternFill>
    </fill>
    <fill>
      <patternFill patternType="mediumGray">
        <fgColor rgb="FF000000"/>
        <bgColor rgb="FFC0C0C0"/>
      </patternFill>
    </fill>
    <fill>
      <patternFill patternType="solid">
        <fgColor rgb="FFDCE6F1"/>
        <bgColor rgb="FF000000"/>
      </patternFill>
    </fill>
    <fill>
      <patternFill patternType="solid">
        <fgColor rgb="FFF6F6F6"/>
        <bgColor rgb="FF000000"/>
      </patternFill>
    </fill>
    <fill>
      <patternFill patternType="solid">
        <fgColor theme="4"/>
        <bgColor theme="4"/>
      </patternFill>
    </fill>
  </fills>
  <borders count="11">
    <border>
      <left/>
      <right/>
      <top/>
      <bottom/>
      <diagonal/>
    </border>
    <border>
      <left/>
      <right style="thin">
        <color rgb="FFB0B0B0"/>
      </right>
      <top style="thin">
        <color rgb="FFB0B0B0"/>
      </top>
      <bottom style="thin">
        <color rgb="FFB0B0B0"/>
      </bottom>
      <diagonal/>
    </border>
    <border>
      <left style="thin">
        <color rgb="FFB0B0B0"/>
      </left>
      <right/>
      <top style="thin">
        <color rgb="FFB0B0B0"/>
      </top>
      <bottom style="thin">
        <color rgb="FFB0B0B0"/>
      </bottom>
      <diagonal/>
    </border>
    <border>
      <left/>
      <right style="thin">
        <color rgb="FFB0B0B0"/>
      </right>
      <top/>
      <bottom style="thin">
        <color rgb="FFB0B0B0"/>
      </bottom>
      <diagonal/>
    </border>
    <border>
      <left/>
      <right/>
      <top/>
      <bottom style="thin">
        <color rgb="FFB0B0B0"/>
      </bottom>
      <diagonal/>
    </border>
    <border>
      <left style="thin">
        <color rgb="FFB0B0B0"/>
      </left>
      <right/>
      <top/>
      <bottom style="thin">
        <color rgb="FFB0B0B0"/>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right/>
      <top style="thin">
        <color theme="4"/>
      </top>
      <bottom style="thin">
        <color theme="4"/>
      </bottom>
      <diagonal/>
    </border>
    <border>
      <left/>
      <right style="thin">
        <color theme="4"/>
      </right>
      <top style="thin">
        <color theme="4"/>
      </top>
      <bottom style="thin">
        <color theme="4"/>
      </bottom>
      <diagonal/>
    </border>
  </borders>
  <cellStyleXfs count="9">
    <xf numFmtId="0" fontId="0" fillId="0" borderId="0"/>
    <xf numFmtId="43" fontId="5" fillId="0" borderId="0"/>
    <xf numFmtId="9" fontId="5" fillId="0" borderId="0"/>
    <xf numFmtId="0" fontId="9" fillId="0" borderId="0"/>
    <xf numFmtId="0" fontId="10" fillId="0" borderId="0"/>
    <xf numFmtId="0" fontId="11" fillId="0" borderId="0"/>
    <xf numFmtId="0" fontId="14" fillId="0" borderId="0"/>
    <xf numFmtId="0" fontId="13" fillId="0" borderId="0"/>
    <xf numFmtId="0" fontId="12" fillId="0" borderId="0"/>
  </cellStyleXfs>
  <cellXfs count="45">
    <xf numFmtId="0" fontId="0" fillId="0" borderId="0" xfId="0"/>
    <xf numFmtId="0" fontId="3" fillId="4" borderId="0" xfId="0" applyFont="1" applyFill="1"/>
    <xf numFmtId="0" fontId="4" fillId="0" borderId="0" xfId="0" applyFont="1"/>
    <xf numFmtId="4" fontId="4" fillId="0" borderId="0" xfId="0" applyNumberFormat="1" applyFont="1"/>
    <xf numFmtId="0" fontId="4" fillId="6" borderId="0" xfId="0" applyFont="1" applyFill="1"/>
    <xf numFmtId="4" fontId="4" fillId="6" borderId="0" xfId="0" applyNumberFormat="1" applyFont="1" applyFill="1"/>
    <xf numFmtId="0" fontId="1" fillId="2" borderId="2" xfId="0" applyFont="1" applyFill="1" applyBorder="1"/>
    <xf numFmtId="0" fontId="1" fillId="2" borderId="1" xfId="0" applyFont="1" applyFill="1" applyBorder="1"/>
    <xf numFmtId="0" fontId="2" fillId="5" borderId="3"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2" fillId="3" borderId="3" xfId="0" applyFont="1" applyFill="1" applyBorder="1"/>
    <xf numFmtId="0" fontId="0" fillId="0" borderId="0" xfId="0" applyAlignment="1">
      <alignment horizontal="left" wrapText="1"/>
    </xf>
    <xf numFmtId="0" fontId="0" fillId="0" borderId="0" xfId="0" applyAlignment="1">
      <alignment horizontal="left"/>
    </xf>
    <xf numFmtId="43" fontId="0" fillId="0" borderId="0" xfId="0" applyNumberFormat="1"/>
    <xf numFmtId="43" fontId="0" fillId="0" borderId="0" xfId="1" applyFont="1"/>
    <xf numFmtId="0" fontId="6" fillId="7" borderId="6" xfId="0" applyFont="1" applyFill="1" applyBorder="1" applyAlignment="1">
      <alignment horizontal="left"/>
    </xf>
    <xf numFmtId="0" fontId="6" fillId="7" borderId="7" xfId="0" applyFont="1" applyFill="1" applyBorder="1"/>
    <xf numFmtId="0" fontId="6" fillId="7" borderId="8" xfId="0" applyFont="1" applyFill="1" applyBorder="1"/>
    <xf numFmtId="0" fontId="7" fillId="0" borderId="0" xfId="0" applyFont="1" applyAlignment="1">
      <alignment horizontal="left"/>
    </xf>
    <xf numFmtId="3" fontId="7" fillId="0" borderId="0" xfId="0" applyNumberFormat="1" applyFont="1" applyAlignment="1">
      <alignment horizontal="right"/>
    </xf>
    <xf numFmtId="3" fontId="7" fillId="0" borderId="0" xfId="0" applyNumberFormat="1" applyFont="1"/>
    <xf numFmtId="0" fontId="8" fillId="0" borderId="0" xfId="0" applyFont="1" applyAlignment="1">
      <alignment horizontal="left"/>
    </xf>
    <xf numFmtId="3" fontId="8" fillId="0" borderId="0" xfId="0" applyNumberFormat="1" applyFont="1" applyAlignment="1">
      <alignment horizontal="right"/>
    </xf>
    <xf numFmtId="3" fontId="8" fillId="0" borderId="0" xfId="0" applyNumberFormat="1" applyFont="1"/>
    <xf numFmtId="9" fontId="8" fillId="0" borderId="0" xfId="0" applyNumberFormat="1" applyFont="1" applyAlignment="1">
      <alignment horizontal="right"/>
    </xf>
    <xf numFmtId="0" fontId="0" fillId="0" borderId="0" xfId="0" applyAlignment="1">
      <alignment wrapText="1"/>
    </xf>
    <xf numFmtId="1" fontId="0" fillId="0" borderId="0" xfId="0" applyNumberFormat="1"/>
    <xf numFmtId="1" fontId="12" fillId="0" borderId="0" xfId="8" applyNumberFormat="1"/>
    <xf numFmtId="43" fontId="12" fillId="0" borderId="0" xfId="1" applyFont="1"/>
    <xf numFmtId="0" fontId="15" fillId="0" borderId="0" xfId="0" applyFont="1"/>
    <xf numFmtId="10" fontId="7" fillId="0" borderId="0" xfId="2" applyNumberFormat="1" applyFont="1" applyAlignment="1">
      <alignment horizontal="right"/>
    </xf>
    <xf numFmtId="2" fontId="0" fillId="0" borderId="0" xfId="0" applyNumberFormat="1"/>
    <xf numFmtId="164" fontId="12" fillId="0" borderId="9" xfId="2" applyNumberFormat="1" applyFont="1" applyBorder="1"/>
    <xf numFmtId="10" fontId="12" fillId="0" borderId="9" xfId="2" applyNumberFormat="1" applyFont="1" applyBorder="1"/>
    <xf numFmtId="164" fontId="0" fillId="0" borderId="7" xfId="2" applyNumberFormat="1" applyFont="1" applyBorder="1"/>
    <xf numFmtId="10" fontId="0" fillId="0" borderId="7" xfId="2" applyNumberFormat="1" applyFont="1" applyBorder="1"/>
    <xf numFmtId="0" fontId="15" fillId="0" borderId="9" xfId="0" applyFont="1" applyBorder="1"/>
    <xf numFmtId="0" fontId="15" fillId="0" borderId="10" xfId="0" applyFont="1" applyBorder="1"/>
    <xf numFmtId="0" fontId="15" fillId="0" borderId="7" xfId="0" applyFont="1" applyBorder="1"/>
    <xf numFmtId="0" fontId="15" fillId="0" borderId="8" xfId="0" applyFont="1" applyBorder="1"/>
    <xf numFmtId="2" fontId="15" fillId="0" borderId="7" xfId="0" applyNumberFormat="1" applyFont="1" applyBorder="1"/>
    <xf numFmtId="2" fontId="15" fillId="0" borderId="8" xfId="0" applyNumberFormat="1" applyFont="1" applyBorder="1"/>
    <xf numFmtId="9" fontId="8" fillId="0" borderId="0" xfId="2" applyFont="1" applyAlignment="1">
      <alignment horizontal="right"/>
    </xf>
  </cellXfs>
  <cellStyles count="9">
    <cellStyle name="Millares" xfId="1" builtinId="3"/>
    <cellStyle name="Normal" xfId="0" builtinId="0"/>
    <cellStyle name="Normal 2" xfId="4" xr:uid="{00000000-0005-0000-0000-000004000000}"/>
    <cellStyle name="Normal 2 2" xfId="5" xr:uid="{00000000-0005-0000-0000-000005000000}"/>
    <cellStyle name="Normal 2 2 2" xfId="6" xr:uid="{00000000-0005-0000-0000-000006000000}"/>
    <cellStyle name="Normal 2 3" xfId="7" xr:uid="{00000000-0005-0000-0000-000007000000}"/>
    <cellStyle name="Normal 3" xfId="3" xr:uid="{00000000-0005-0000-0000-000003000000}"/>
    <cellStyle name="Normal 4" xfId="8" xr:uid="{00000000-0005-0000-0000-000008000000}"/>
    <cellStyle name="Porcentaje" xfId="2" builtinId="5"/>
  </cellStyles>
  <dxfs count="141">
    <dxf>
      <font>
        <b/>
        <strike val="0"/>
        <condense val="0"/>
        <extend val="0"/>
        <outline val="0"/>
        <shadow val="0"/>
        <vertAlign val="baseline"/>
        <sz val="9"/>
        <color rgb="FFFFFFFF"/>
        <name val="Arial"/>
        <family val="2"/>
      </font>
      <fill>
        <patternFill patternType="solid">
          <fgColor rgb="FF000000"/>
          <bgColor rgb="FF4669AF"/>
        </patternFill>
      </fill>
      <border outline="0">
        <left/>
        <right style="thin">
          <color rgb="FFB0B0B0"/>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style="thin">
          <color rgb="FFB0B0B0"/>
        </left>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right style="thin">
          <color rgb="FFB0B0B0"/>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style="thin">
          <color rgb="FFB0B0B0"/>
        </left>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right style="thin">
          <color rgb="FFB0B0B0"/>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style="thin">
          <color rgb="FFB0B0B0"/>
        </left>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right style="thin">
          <color rgb="FFB0B0B0"/>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style="thin">
          <color rgb="FFB0B0B0"/>
        </left>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right style="thin">
          <color rgb="FFB0B0B0"/>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style="thin">
          <color rgb="FFB0B0B0"/>
        </left>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right style="thin">
          <color rgb="FFB0B0B0"/>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style="thin">
          <color rgb="FFB0B0B0"/>
        </left>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right style="thin">
          <color rgb="FFB0B0B0"/>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style="thin">
          <color rgb="FFB0B0B0"/>
        </left>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right style="thin">
          <color rgb="FFB0B0B0"/>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style="thin">
          <color rgb="FFB0B0B0"/>
        </left>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right style="thin">
          <color rgb="FFB0B0B0"/>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style="thin">
          <color rgb="FFB0B0B0"/>
        </left>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right style="thin">
          <color rgb="FFB0B0B0"/>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style="thin">
          <color rgb="FFB0B0B0"/>
        </left>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right style="thin">
          <color rgb="FFB0B0B0"/>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style="thin">
          <color rgb="FFB0B0B0"/>
        </left>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right style="thin">
          <color rgb="FFB0B0B0"/>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style="thin">
          <color rgb="FFB0B0B0"/>
        </left>
        <right/>
        <top/>
        <bottom style="thin">
          <color rgb="FFB0B0B0"/>
        </bottom>
      </border>
    </dxf>
    <dxf>
      <font>
        <b/>
        <strike val="0"/>
        <condense val="0"/>
        <extend val="0"/>
        <outline val="0"/>
        <shadow val="0"/>
        <vertAlign val="baseline"/>
        <sz val="9"/>
        <color rgb="FFFFFFFF"/>
        <name val="Arial"/>
        <family val="2"/>
      </font>
      <fill>
        <patternFill patternType="solid">
          <fgColor rgb="FF000000"/>
          <bgColor rgb="FF4669AF"/>
        </patternFill>
      </fill>
      <border outline="0">
        <left/>
        <right style="thin">
          <color rgb="FFB0B0B0"/>
        </right>
        <top/>
        <bottom style="thin">
          <color rgb="FFB0B0B0"/>
        </bottom>
      </border>
    </dxf>
    <dxf>
      <border outline="0">
        <left style="thin">
          <color rgb="FFB0B0B0"/>
        </left>
        <top style="thin">
          <color rgb="FFB0B0B0"/>
        </top>
      </border>
    </dxf>
    <dxf>
      <border outline="0">
        <bottom style="thin">
          <color rgb="FFB0B0B0"/>
        </bottom>
      </border>
    </dxf>
    <dxf>
      <font>
        <b/>
        <strike val="0"/>
        <condense val="0"/>
        <extend val="0"/>
        <outline val="0"/>
        <shadow val="0"/>
        <vertAlign val="baseline"/>
        <sz val="9"/>
        <color rgb="FFFFFFFF"/>
        <name val="Arial"/>
      </font>
      <fill>
        <patternFill patternType="solid">
          <fgColor rgb="FF000000"/>
          <bgColor rgb="FF4669AF"/>
        </patternFill>
      </fill>
      <border outline="0">
        <left style="thin">
          <color rgb="FFB0B0B0"/>
        </left>
        <right style="thin">
          <color rgb="FFB0B0B0"/>
        </right>
        <top/>
        <bottom/>
      </border>
    </dxf>
    <dxf>
      <border outline="0">
        <left style="thin">
          <color rgb="FFB0B0B0"/>
        </left>
        <top style="thin">
          <color rgb="FFB0B0B0"/>
        </top>
      </border>
    </dxf>
    <dxf>
      <border outline="0">
        <bottom style="thin">
          <color rgb="FFB0B0B0"/>
        </bottom>
      </border>
    </dxf>
    <dxf>
      <font>
        <b/>
        <strike val="0"/>
        <condense val="0"/>
        <extend val="0"/>
        <outline val="0"/>
        <shadow val="0"/>
        <vertAlign val="baseline"/>
        <sz val="9"/>
        <color rgb="FFFFFFFF"/>
        <name val="Arial"/>
      </font>
      <fill>
        <patternFill patternType="solid">
          <fgColor rgb="FF000000"/>
          <bgColor rgb="FF4669AF"/>
        </patternFill>
      </fill>
    </dxf>
    <dxf>
      <border outline="0">
        <left style="thin">
          <color rgb="FFB0B0B0"/>
        </left>
        <top style="thin">
          <color rgb="FFB0B0B0"/>
        </top>
      </border>
    </dxf>
    <dxf>
      <border outline="0">
        <bottom style="thin">
          <color rgb="FFB0B0B0"/>
        </bottom>
      </border>
    </dxf>
    <dxf>
      <font>
        <b/>
        <strike val="0"/>
        <condense val="0"/>
        <extend val="0"/>
        <outline val="0"/>
        <shadow val="0"/>
        <vertAlign val="baseline"/>
        <sz val="9"/>
        <color rgb="FFFFFFFF"/>
        <name val="Arial"/>
      </font>
      <fill>
        <patternFill patternType="solid">
          <fgColor rgb="FF000000"/>
          <bgColor rgb="FF4669AF"/>
        </patternFill>
      </fill>
    </dxf>
    <dxf>
      <border outline="0">
        <left style="thin">
          <color rgb="FFB0B0B0"/>
        </left>
        <top style="thin">
          <color rgb="FFB0B0B0"/>
        </top>
      </border>
    </dxf>
    <dxf>
      <border outline="0">
        <bottom style="thin">
          <color rgb="FFB0B0B0"/>
        </bottom>
      </border>
    </dxf>
    <dxf>
      <font>
        <b/>
        <strike val="0"/>
        <condense val="0"/>
        <extend val="0"/>
        <outline val="0"/>
        <shadow val="0"/>
        <vertAlign val="baseline"/>
        <sz val="9"/>
        <color rgb="FFFFFFFF"/>
        <name val="Arial"/>
      </font>
      <fill>
        <patternFill patternType="solid">
          <fgColor rgb="FF000000"/>
          <bgColor rgb="FF4669AF"/>
        </patternFill>
      </fill>
    </dxf>
    <dxf>
      <border outline="0">
        <left style="thin">
          <color rgb="FFB0B0B0"/>
        </left>
        <top style="thin">
          <color rgb="FFB0B0B0"/>
        </top>
      </border>
    </dxf>
    <dxf>
      <border outline="0">
        <bottom style="thin">
          <color rgb="FFB0B0B0"/>
        </bottom>
      </border>
    </dxf>
    <dxf>
      <font>
        <b/>
        <strike val="0"/>
        <condense val="0"/>
        <extend val="0"/>
        <outline val="0"/>
        <shadow val="0"/>
        <vertAlign val="baseline"/>
        <sz val="9"/>
        <color rgb="FFFFFFFF"/>
        <name val="Arial"/>
      </font>
      <fill>
        <patternFill patternType="solid">
          <fgColor rgb="FF000000"/>
          <bgColor rgb="FF4669AF"/>
        </patternFill>
      </fill>
      <border outline="0">
        <left style="thin">
          <color rgb="FFB0B0B0"/>
        </left>
        <right style="thin">
          <color rgb="FFB0B0B0"/>
        </right>
        <top/>
        <bottom/>
      </border>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font>
        <b/>
        <strike val="0"/>
        <condense val="0"/>
        <extend val="0"/>
        <outline val="0"/>
        <shadow val="0"/>
        <vertAlign val="baseline"/>
        <sz val="9"/>
        <color rgb="FF1B1B1B"/>
        <name val="Tableau Book"/>
      </font>
    </dxf>
    <dxf>
      <font>
        <b/>
        <strike val="0"/>
        <condense val="0"/>
        <extend val="0"/>
        <outline val="0"/>
        <shadow val="0"/>
        <vertAlign val="baseline"/>
        <sz val="9"/>
        <color rgb="FF1B1B1B"/>
        <name val="Tableau Book"/>
      </font>
    </dxf>
    <dxf>
      <font>
        <b/>
        <strike val="0"/>
        <condense val="0"/>
        <extend val="0"/>
        <outline val="0"/>
        <shadow val="0"/>
        <vertAlign val="baseline"/>
        <sz val="9"/>
        <color rgb="FF1B1B1B"/>
        <name val="Tableau Book"/>
      </font>
    </dxf>
    <dxf>
      <font>
        <b/>
        <sz val="9"/>
        <color rgb="FF1B1B1B"/>
        <name val="Tableau Book"/>
      </font>
      <numFmt numFmtId="1" formatCode="0"/>
    </dxf>
    <dxf>
      <font>
        <b/>
        <sz val="9"/>
        <color rgb="FF1B1B1B"/>
        <name val="Tableau Book"/>
      </font>
      <numFmt numFmtId="1" formatCode="0"/>
    </dxf>
    <dxf>
      <font>
        <b/>
        <sz val="9"/>
        <color rgb="FF1B1B1B"/>
        <name val="Tableau Book"/>
      </font>
      <numFmt numFmtId="1" formatCode="0"/>
    </dxf>
    <dxf>
      <font>
        <b/>
        <sz val="9"/>
        <color rgb="FF1B1B1B"/>
        <name val="Tableau Book"/>
      </font>
      <numFmt numFmtId="1" formatCode="0"/>
    </dxf>
    <dxf>
      <font>
        <b/>
        <sz val="9"/>
        <color rgb="FF1B1B1B"/>
        <name val="Tableau Book"/>
      </font>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s>
  <tableStyles count="2" defaultTableStyle="TableStyleMedium2" defaultPivotStyle="PivotStyleMedium9">
    <tableStyle name="Estilo de tabla 1" pivot="0" count="0" xr9:uid="{00000000-0011-0000-FFFF-FFFF00000000}"/>
    <tableStyle name="Estilo de tabla 2" pivot="0" count="0" xr9:uid="{00000000-0011-0000-FFFF-FFFF01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_tradnl"/>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s-ES"/>
              <a:t>Real</a:t>
            </a:r>
            <a:r>
              <a:rPr lang="es-ES" baseline="0"/>
              <a:t> and Nominal GDP</a:t>
            </a:r>
            <a:endParaRPr lang="es-ES"/>
          </a:p>
        </c:rich>
      </c:tx>
      <c:overlay val="0"/>
      <c:spPr>
        <a:noFill/>
        <a:ln>
          <a:noFill/>
          <a:prstDash val="solid"/>
        </a:ln>
      </c:spPr>
    </c:title>
    <c:autoTitleDeleted val="0"/>
    <c:plotArea>
      <c:layout/>
      <c:lineChart>
        <c:grouping val="standard"/>
        <c:varyColors val="0"/>
        <c:ser>
          <c:idx val="1"/>
          <c:order val="0"/>
          <c:tx>
            <c:strRef>
              <c:f>Hoja1!$A$5</c:f>
              <c:strCache>
                <c:ptCount val="1"/>
                <c:pt idx="0">
                  <c:v>Latvia</c:v>
                </c:pt>
              </c:strCache>
            </c:strRef>
          </c:tx>
          <c:spPr>
            <a:ln w="28575" cap="rnd">
              <a:solidFill>
                <a:schemeClr val="accent2"/>
              </a:solidFill>
              <a:prstDash val="solid"/>
              <a:round/>
            </a:ln>
          </c:spPr>
          <c:marker>
            <c:symbol val="none"/>
          </c:marker>
          <c:cat>
            <c:strLit>
              <c:ptCount val="12"/>
              <c:pt idx="0">
                <c:v>1</c:v>
              </c:pt>
              <c:pt idx="1">
                <c:v>3</c:v>
              </c:pt>
              <c:pt idx="2">
                <c:v>5</c:v>
              </c:pt>
              <c:pt idx="3">
                <c:v>7</c:v>
              </c:pt>
              <c:pt idx="4">
                <c:v>9</c:v>
              </c:pt>
              <c:pt idx="5">
                <c:v>11</c:v>
              </c:pt>
              <c:pt idx="6">
                <c:v>13</c:v>
              </c:pt>
              <c:pt idx="7">
                <c:v>15</c:v>
              </c:pt>
              <c:pt idx="8">
                <c:v>17</c:v>
              </c:pt>
              <c:pt idx="9">
                <c:v>19</c:v>
              </c:pt>
              <c:pt idx="10">
                <c:v>21</c:v>
              </c:pt>
              <c:pt idx="11">
                <c:v>23</c:v>
              </c:pt>
            </c:strLit>
          </c:cat>
          <c:val>
            <c:numRef>
              <c:f>(Hoja1!$B$5,Hoja1!$D$5,Hoja1!$F$5,Hoja1!$H$5,Hoja1!$J$5,Hoja1!$L$5,Hoja1!$N$5,Hoja1!$P$5,Hoja1!$R$5,Hoja1!$T$5,Hoja1!$V$5,Hoja1!$X$5)</c:f>
              <c:numCache>
                <c:formatCode>#,##0.00</c:formatCode>
                <c:ptCount val="12"/>
                <c:pt idx="0">
                  <c:v>21270.9</c:v>
                </c:pt>
                <c:pt idx="1">
                  <c:v>21997</c:v>
                </c:pt>
                <c:pt idx="2">
                  <c:v>22790.5</c:v>
                </c:pt>
                <c:pt idx="3">
                  <c:v>23744.3</c:v>
                </c:pt>
                <c:pt idx="4">
                  <c:v>24498.2</c:v>
                </c:pt>
                <c:pt idx="5">
                  <c:v>26017.1</c:v>
                </c:pt>
                <c:pt idx="6">
                  <c:v>28153.4</c:v>
                </c:pt>
                <c:pt idx="7">
                  <c:v>29567</c:v>
                </c:pt>
                <c:pt idx="8">
                  <c:v>29224.3</c:v>
                </c:pt>
                <c:pt idx="9">
                  <c:v>32283.8</c:v>
                </c:pt>
                <c:pt idx="10">
                  <c:v>36088.699999999997</c:v>
                </c:pt>
                <c:pt idx="11">
                  <c:v>39564.199999999997</c:v>
                </c:pt>
              </c:numCache>
            </c:numRef>
          </c:val>
          <c:smooth val="0"/>
          <c:extLst>
            <c:ext xmlns:c16="http://schemas.microsoft.com/office/drawing/2014/chart" uri="{C3380CC4-5D6E-409C-BE32-E72D297353CC}">
              <c16:uniqueId val="{00000000-472C-B54B-874B-A634BA7A6386}"/>
            </c:ext>
          </c:extLst>
        </c:ser>
        <c:ser>
          <c:idx val="2"/>
          <c:order val="1"/>
          <c:tx>
            <c:strRef>
              <c:f>Hoja1!$A$6</c:f>
              <c:strCache>
                <c:ptCount val="1"/>
                <c:pt idx="0">
                  <c:v>Switzerland</c:v>
                </c:pt>
              </c:strCache>
            </c:strRef>
          </c:tx>
          <c:spPr>
            <a:ln w="28575" cap="rnd">
              <a:solidFill>
                <a:schemeClr val="accent3"/>
              </a:solidFill>
              <a:prstDash val="solid"/>
              <a:round/>
            </a:ln>
          </c:spPr>
          <c:marker>
            <c:symbol val="none"/>
          </c:marker>
          <c:cat>
            <c:strLit>
              <c:ptCount val="12"/>
              <c:pt idx="0">
                <c:v>1</c:v>
              </c:pt>
              <c:pt idx="1">
                <c:v>3</c:v>
              </c:pt>
              <c:pt idx="2">
                <c:v>5</c:v>
              </c:pt>
              <c:pt idx="3">
                <c:v>7</c:v>
              </c:pt>
              <c:pt idx="4">
                <c:v>9</c:v>
              </c:pt>
              <c:pt idx="5">
                <c:v>11</c:v>
              </c:pt>
              <c:pt idx="6">
                <c:v>13</c:v>
              </c:pt>
              <c:pt idx="7">
                <c:v>15</c:v>
              </c:pt>
              <c:pt idx="8">
                <c:v>17</c:v>
              </c:pt>
              <c:pt idx="9">
                <c:v>19</c:v>
              </c:pt>
              <c:pt idx="10">
                <c:v>21</c:v>
              </c:pt>
              <c:pt idx="11">
                <c:v>23</c:v>
              </c:pt>
            </c:strLit>
          </c:cat>
          <c:val>
            <c:numRef>
              <c:f>(Hoja1!$B$6,Hoja1!$D$6,Hoja1!$F$6,Hoja1!$H$6,Hoja1!$J$6,Hoja1!$L$6,Hoja1!$N$6,Hoja1!$P$6,Hoja1!$R$6,Hoja1!$T$6,Hoja1!$V$6,Hoja1!$X$6)</c:f>
              <c:numCache>
                <c:formatCode>#,##0.00</c:formatCode>
                <c:ptCount val="12"/>
                <c:pt idx="0">
                  <c:v>534012.80000000005</c:v>
                </c:pt>
                <c:pt idx="1">
                  <c:v>531729.1</c:v>
                </c:pt>
                <c:pt idx="2">
                  <c:v>548014.5</c:v>
                </c:pt>
                <c:pt idx="3">
                  <c:v>625532.69999999995</c:v>
                </c:pt>
                <c:pt idx="4">
                  <c:v>621765.1</c:v>
                </c:pt>
                <c:pt idx="5">
                  <c:v>615776.30000000005</c:v>
                </c:pt>
                <c:pt idx="6">
                  <c:v>614304.4</c:v>
                </c:pt>
                <c:pt idx="7">
                  <c:v>644443.19999999995</c:v>
                </c:pt>
                <c:pt idx="8">
                  <c:v>650742.6</c:v>
                </c:pt>
                <c:pt idx="9">
                  <c:v>689174.9</c:v>
                </c:pt>
                <c:pt idx="10">
                  <c:v>787386.5</c:v>
                </c:pt>
                <c:pt idx="11">
                  <c:v>826951.8</c:v>
                </c:pt>
              </c:numCache>
            </c:numRef>
          </c:val>
          <c:smooth val="0"/>
          <c:extLst>
            <c:ext xmlns:c16="http://schemas.microsoft.com/office/drawing/2014/chart" uri="{C3380CC4-5D6E-409C-BE32-E72D297353CC}">
              <c16:uniqueId val="{00000001-472C-B54B-874B-A634BA7A6386}"/>
            </c:ext>
          </c:extLst>
        </c:ser>
        <c:ser>
          <c:idx val="3"/>
          <c:order val="2"/>
          <c:tx>
            <c:strRef>
              <c:f>Hoja1!$A$28</c:f>
              <c:strCache>
                <c:ptCount val="1"/>
                <c:pt idx="0">
                  <c:v>Latvia</c:v>
                </c:pt>
              </c:strCache>
            </c:strRef>
          </c:tx>
          <c:spPr>
            <a:ln w="28575" cap="rnd">
              <a:solidFill>
                <a:schemeClr val="accent5"/>
              </a:solidFill>
              <a:prstDash val="solid"/>
              <a:round/>
            </a:ln>
          </c:spPr>
          <c:marker>
            <c:symbol val="none"/>
          </c:marker>
          <c:cat>
            <c:strLit>
              <c:ptCount val="12"/>
              <c:pt idx="0">
                <c:v>1</c:v>
              </c:pt>
              <c:pt idx="1">
                <c:v>3</c:v>
              </c:pt>
              <c:pt idx="2">
                <c:v>5</c:v>
              </c:pt>
              <c:pt idx="3">
                <c:v>7</c:v>
              </c:pt>
              <c:pt idx="4">
                <c:v>9</c:v>
              </c:pt>
              <c:pt idx="5">
                <c:v>11</c:v>
              </c:pt>
              <c:pt idx="6">
                <c:v>13</c:v>
              </c:pt>
              <c:pt idx="7">
                <c:v>15</c:v>
              </c:pt>
              <c:pt idx="8">
                <c:v>17</c:v>
              </c:pt>
              <c:pt idx="9">
                <c:v>19</c:v>
              </c:pt>
              <c:pt idx="10">
                <c:v>21</c:v>
              </c:pt>
              <c:pt idx="11">
                <c:v>23</c:v>
              </c:pt>
            </c:strLit>
          </c:cat>
          <c:val>
            <c:numRef>
              <c:f>(Hoja1!$B$28,Hoja1!$D$28,Hoja1!$F$28,Hoja1!$H$28,Hoja1!$J$28,Hoja1!$L$28,Hoja1!$N$28,Hoja1!$P$28,Hoja1!$R$28,Hoja1!$T$28,Hoja1!$V$28,Hoja1!$X$28)</c:f>
              <c:numCache>
                <c:formatCode>General</c:formatCode>
                <c:ptCount val="12"/>
                <c:pt idx="0">
                  <c:v>219.49128056960069</c:v>
                </c:pt>
                <c:pt idx="1">
                  <c:v>224.09103411741933</c:v>
                </c:pt>
                <c:pt idx="2">
                  <c:v>228.78582542789741</c:v>
                </c:pt>
                <c:pt idx="3">
                  <c:v>237.44299999999998</c:v>
                </c:pt>
                <c:pt idx="4">
                  <c:v>243.50151081424937</c:v>
                </c:pt>
                <c:pt idx="5">
                  <c:v>251.77676273056301</c:v>
                </c:pt>
                <c:pt idx="6">
                  <c:v>262.62744988292803</c:v>
                </c:pt>
                <c:pt idx="7">
                  <c:v>264.40183857063653</c:v>
                </c:pt>
                <c:pt idx="8">
                  <c:v>255.22960297636723</c:v>
                </c:pt>
                <c:pt idx="9">
                  <c:v>272.94847731615346</c:v>
                </c:pt>
                <c:pt idx="10">
                  <c:v>278.15742011068119</c:v>
                </c:pt>
                <c:pt idx="11">
                  <c:v>275.53973869682704</c:v>
                </c:pt>
              </c:numCache>
            </c:numRef>
          </c:val>
          <c:smooth val="0"/>
          <c:extLst>
            <c:ext xmlns:c16="http://schemas.microsoft.com/office/drawing/2014/chart" uri="{C3380CC4-5D6E-409C-BE32-E72D297353CC}">
              <c16:uniqueId val="{00000002-472C-B54B-874B-A634BA7A6386}"/>
            </c:ext>
          </c:extLst>
        </c:ser>
        <c:ser>
          <c:idx val="4"/>
          <c:order val="3"/>
          <c:tx>
            <c:strRef>
              <c:f>Hoja1!$A$29</c:f>
              <c:strCache>
                <c:ptCount val="1"/>
                <c:pt idx="0">
                  <c:v>Switzerland</c:v>
                </c:pt>
              </c:strCache>
            </c:strRef>
          </c:tx>
          <c:spPr>
            <a:ln w="28575" cap="rnd">
              <a:solidFill>
                <a:schemeClr val="accent6"/>
              </a:solidFill>
              <a:prstDash val="solid"/>
              <a:round/>
            </a:ln>
          </c:spPr>
          <c:marker>
            <c:symbol val="none"/>
          </c:marker>
          <c:cat>
            <c:strLit>
              <c:ptCount val="12"/>
              <c:pt idx="0">
                <c:v>1</c:v>
              </c:pt>
              <c:pt idx="1">
                <c:v>3</c:v>
              </c:pt>
              <c:pt idx="2">
                <c:v>5</c:v>
              </c:pt>
              <c:pt idx="3">
                <c:v>7</c:v>
              </c:pt>
              <c:pt idx="4">
                <c:v>9</c:v>
              </c:pt>
              <c:pt idx="5">
                <c:v>11</c:v>
              </c:pt>
              <c:pt idx="6">
                <c:v>13</c:v>
              </c:pt>
              <c:pt idx="7">
                <c:v>15</c:v>
              </c:pt>
              <c:pt idx="8">
                <c:v>17</c:v>
              </c:pt>
              <c:pt idx="9">
                <c:v>19</c:v>
              </c:pt>
              <c:pt idx="10">
                <c:v>21</c:v>
              </c:pt>
              <c:pt idx="11">
                <c:v>23</c:v>
              </c:pt>
            </c:strLit>
          </c:cat>
          <c:val>
            <c:numRef>
              <c:f>(Hoja1!$B$29,Hoja1!$D$29,Hoja1!$F$29,Hoja1!$H$29,Hoja1!$J$29,Hoja1!$L$29,Hoja1!$N$29,Hoja1!$P$29,Hoja1!$R$29,Hoja1!$T$29,Hoja1!$V$29,Hoja1!$X$29)</c:f>
              <c:numCache>
                <c:formatCode>General</c:formatCode>
                <c:ptCount val="12"/>
                <c:pt idx="0">
                  <c:v>5906.95</c:v>
                </c:pt>
                <c:pt idx="1">
                  <c:v>6012.7904741442662</c:v>
                </c:pt>
                <c:pt idx="2">
                  <c:v>6154.1472015092986</c:v>
                </c:pt>
                <c:pt idx="3">
                  <c:v>6255.3269999999993</c:v>
                </c:pt>
                <c:pt idx="4">
                  <c:v>6384.7396362814861</c:v>
                </c:pt>
                <c:pt idx="5">
                  <c:v>6471.7734476815076</c:v>
                </c:pt>
                <c:pt idx="6">
                  <c:v>6656.8892838179036</c:v>
                </c:pt>
                <c:pt idx="7">
                  <c:v>6732.8680680346024</c:v>
                </c:pt>
                <c:pt idx="8">
                  <c:v>6588.6642299553496</c:v>
                </c:pt>
                <c:pt idx="9">
                  <c:v>6954.969674339749</c:v>
                </c:pt>
                <c:pt idx="10">
                  <c:v>7166.7243121228394</c:v>
                </c:pt>
                <c:pt idx="11">
                  <c:v>7215.669473408665</c:v>
                </c:pt>
              </c:numCache>
            </c:numRef>
          </c:val>
          <c:smooth val="0"/>
          <c:extLst>
            <c:ext xmlns:c16="http://schemas.microsoft.com/office/drawing/2014/chart" uri="{C3380CC4-5D6E-409C-BE32-E72D297353CC}">
              <c16:uniqueId val="{00000003-472C-B54B-874B-A634BA7A6386}"/>
            </c:ext>
          </c:extLst>
        </c:ser>
        <c:dLbls>
          <c:showLegendKey val="0"/>
          <c:showVal val="0"/>
          <c:showCatName val="0"/>
          <c:showSerName val="0"/>
          <c:showPercent val="0"/>
          <c:showBubbleSize val="0"/>
        </c:dLbls>
        <c:smooth val="0"/>
        <c:axId val="553821632"/>
        <c:axId val="553824992"/>
      </c:lineChart>
      <c:catAx>
        <c:axId val="55382163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crossAx val="553824992"/>
        <c:crosses val="autoZero"/>
        <c:auto val="1"/>
        <c:lblAlgn val="ctr"/>
        <c:lblOffset val="100"/>
        <c:noMultiLvlLbl val="0"/>
      </c:catAx>
      <c:valAx>
        <c:axId val="553824992"/>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crossAx val="55382163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_tradnl"/>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s-ES"/>
              <a:t>Nominal vs Real GDP</a:t>
            </a:r>
          </a:p>
        </c:rich>
      </c:tx>
      <c:overlay val="0"/>
      <c:spPr>
        <a:noFill/>
        <a:ln>
          <a:noFill/>
          <a:prstDash val="solid"/>
        </a:ln>
      </c:spPr>
    </c:title>
    <c:autoTitleDeleted val="0"/>
    <c:plotArea>
      <c:layout/>
      <c:lineChart>
        <c:grouping val="standard"/>
        <c:varyColors val="0"/>
        <c:ser>
          <c:idx val="0"/>
          <c:order val="0"/>
          <c:tx>
            <c:strRef>
              <c:f>Analysis!$A$2</c:f>
              <c:strCache>
                <c:ptCount val="1"/>
                <c:pt idx="0">
                  <c:v>Nominal GDP, million euros</c:v>
                </c:pt>
              </c:strCache>
            </c:strRef>
          </c:tx>
          <c:spPr>
            <a:ln w="28575" cap="rnd">
              <a:solidFill>
                <a:srgbClr val="637CEF"/>
              </a:solidFill>
              <a:prstDash val="solid"/>
              <a:round/>
            </a:ln>
          </c:spPr>
          <c:marker>
            <c:symbol val="none"/>
          </c:marker>
          <c:cat>
            <c:strRef>
              <c:f>Analysis!$B$2:$M$2</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Analysis!$B$3:$M$3</c:f>
              <c:numCache>
                <c:formatCode>_(* #,##0.00_);_(* \(#,##0.00\);_(* "-"??_);_(@_)</c:formatCode>
                <c:ptCount val="12"/>
                <c:pt idx="0">
                  <c:v>21270.9</c:v>
                </c:pt>
                <c:pt idx="1">
                  <c:v>21997</c:v>
                </c:pt>
                <c:pt idx="2">
                  <c:v>22790.5</c:v>
                </c:pt>
                <c:pt idx="3">
                  <c:v>23744.3</c:v>
                </c:pt>
                <c:pt idx="4">
                  <c:v>24498.2</c:v>
                </c:pt>
                <c:pt idx="5">
                  <c:v>26017.1</c:v>
                </c:pt>
                <c:pt idx="6">
                  <c:v>28153.4</c:v>
                </c:pt>
                <c:pt idx="7">
                  <c:v>29567</c:v>
                </c:pt>
                <c:pt idx="8">
                  <c:v>29224.3</c:v>
                </c:pt>
                <c:pt idx="9">
                  <c:v>32283.8</c:v>
                </c:pt>
                <c:pt idx="10">
                  <c:v>36088.699999999997</c:v>
                </c:pt>
                <c:pt idx="11">
                  <c:v>39564.199999999997</c:v>
                </c:pt>
              </c:numCache>
            </c:numRef>
          </c:val>
          <c:smooth val="0"/>
          <c:extLst>
            <c:ext xmlns:c16="http://schemas.microsoft.com/office/drawing/2014/chart" uri="{C3380CC4-5D6E-409C-BE32-E72D297353CC}">
              <c16:uniqueId val="{00000000-5D13-C44A-96AD-990D6AA5FA88}"/>
            </c:ext>
          </c:extLst>
        </c:ser>
        <c:ser>
          <c:idx val="1"/>
          <c:order val="1"/>
          <c:tx>
            <c:strRef>
              <c:f>Analysis!$A$18</c:f>
              <c:strCache>
                <c:ptCount val="1"/>
                <c:pt idx="0">
                  <c:v>Real GDP, (at 2015 prices)</c:v>
                </c:pt>
              </c:strCache>
            </c:strRef>
          </c:tx>
          <c:spPr>
            <a:ln w="28575" cap="rnd">
              <a:solidFill>
                <a:srgbClr val="2AA0A4"/>
              </a:solidFill>
              <a:prstDash val="solid"/>
              <a:round/>
            </a:ln>
          </c:spPr>
          <c:marker>
            <c:symbol val="none"/>
          </c:marker>
          <c:cat>
            <c:strRef>
              <c:f>Analysis!$B$2:$M$2</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Analysis!$B$19:$M$19</c:f>
              <c:numCache>
                <c:formatCode>_(* #,##0.00_);_(* \(#,##0.00\);_(* "-"??_);_(@_)</c:formatCode>
                <c:ptCount val="12"/>
                <c:pt idx="0">
                  <c:v>21949.128056960068</c:v>
                </c:pt>
                <c:pt idx="1">
                  <c:v>22409.103411741933</c:v>
                </c:pt>
                <c:pt idx="2">
                  <c:v>22878.58254278974</c:v>
                </c:pt>
                <c:pt idx="3">
                  <c:v>23744.3</c:v>
                </c:pt>
                <c:pt idx="4">
                  <c:v>24350.151081424938</c:v>
                </c:pt>
                <c:pt idx="5">
                  <c:v>25177.676273056302</c:v>
                </c:pt>
                <c:pt idx="6">
                  <c:v>26262.744988292805</c:v>
                </c:pt>
                <c:pt idx="7">
                  <c:v>26440.183857063654</c:v>
                </c:pt>
                <c:pt idx="8">
                  <c:v>25522.960297636724</c:v>
                </c:pt>
                <c:pt idx="9">
                  <c:v>27294.847731615344</c:v>
                </c:pt>
                <c:pt idx="10">
                  <c:v>27815.74201106812</c:v>
                </c:pt>
                <c:pt idx="11">
                  <c:v>27553.973869682704</c:v>
                </c:pt>
              </c:numCache>
            </c:numRef>
          </c:val>
          <c:smooth val="0"/>
          <c:extLst>
            <c:ext xmlns:c16="http://schemas.microsoft.com/office/drawing/2014/chart" uri="{C3380CC4-5D6E-409C-BE32-E72D297353CC}">
              <c16:uniqueId val="{00000001-5D13-C44A-96AD-990D6AA5FA88}"/>
            </c:ext>
          </c:extLst>
        </c:ser>
        <c:dLbls>
          <c:showLegendKey val="0"/>
          <c:showVal val="0"/>
          <c:showCatName val="0"/>
          <c:showSerName val="0"/>
          <c:showPercent val="0"/>
          <c:showBubbleSize val="0"/>
        </c:dLbls>
        <c:smooth val="0"/>
        <c:axId val="2114634247"/>
        <c:axId val="2114636295"/>
      </c:lineChart>
      <c:catAx>
        <c:axId val="2114634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114636295"/>
        <c:crosses val="autoZero"/>
        <c:auto val="1"/>
        <c:lblAlgn val="ctr"/>
        <c:lblOffset val="100"/>
        <c:noMultiLvlLbl val="0"/>
      </c:catAx>
      <c:valAx>
        <c:axId val="2114636295"/>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00_);_(* \(#,##0.0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114634247"/>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_tradnl"/>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 Nominal vs Real GDP</a:t>
            </a:r>
          </a:p>
        </c:rich>
      </c:tx>
      <c:overlay val="0"/>
      <c:spPr>
        <a:noFill/>
        <a:ln>
          <a:noFill/>
          <a:prstDash val="solid"/>
        </a:ln>
      </c:spPr>
    </c:title>
    <c:autoTitleDeleted val="0"/>
    <c:plotArea>
      <c:layout/>
      <c:lineChart>
        <c:grouping val="standard"/>
        <c:varyColors val="0"/>
        <c:ser>
          <c:idx val="0"/>
          <c:order val="0"/>
          <c:tx>
            <c:strRef>
              <c:f>Analysis!$A$2</c:f>
              <c:strCache>
                <c:ptCount val="1"/>
                <c:pt idx="0">
                  <c:v>Nominal GDP, million euros</c:v>
                </c:pt>
              </c:strCache>
            </c:strRef>
          </c:tx>
          <c:spPr>
            <a:ln w="28575" cap="rnd">
              <a:solidFill>
                <a:srgbClr val="637CEF"/>
              </a:solidFill>
              <a:prstDash val="solid"/>
              <a:round/>
            </a:ln>
          </c:spPr>
          <c:marker>
            <c:symbol val="none"/>
          </c:marker>
          <c:cat>
            <c:strRef>
              <c:f>Analysis!$B$2:$M$2</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Analysis!$B$4:$M$4</c:f>
              <c:numCache>
                <c:formatCode>_(* #,##0.00_);_(* \(#,##0.00\);_(* "-"??_);_(@_)</c:formatCode>
                <c:ptCount val="12"/>
                <c:pt idx="0">
                  <c:v>534012.80000000005</c:v>
                </c:pt>
                <c:pt idx="1">
                  <c:v>531729.1</c:v>
                </c:pt>
                <c:pt idx="2">
                  <c:v>548014.5</c:v>
                </c:pt>
                <c:pt idx="3">
                  <c:v>625532.69999999995</c:v>
                </c:pt>
                <c:pt idx="4">
                  <c:v>621765.1</c:v>
                </c:pt>
                <c:pt idx="5">
                  <c:v>615776.30000000005</c:v>
                </c:pt>
                <c:pt idx="6">
                  <c:v>614304.4</c:v>
                </c:pt>
                <c:pt idx="7">
                  <c:v>644443.19999999995</c:v>
                </c:pt>
                <c:pt idx="8">
                  <c:v>650742.6</c:v>
                </c:pt>
                <c:pt idx="9">
                  <c:v>689174.9</c:v>
                </c:pt>
                <c:pt idx="10">
                  <c:v>787386.5</c:v>
                </c:pt>
                <c:pt idx="11">
                  <c:v>826951.8</c:v>
                </c:pt>
              </c:numCache>
            </c:numRef>
          </c:val>
          <c:smooth val="0"/>
          <c:extLst>
            <c:ext xmlns:c16="http://schemas.microsoft.com/office/drawing/2014/chart" uri="{C3380CC4-5D6E-409C-BE32-E72D297353CC}">
              <c16:uniqueId val="{00000000-A2CC-6F48-BF88-FCE9AEC4752F}"/>
            </c:ext>
          </c:extLst>
        </c:ser>
        <c:ser>
          <c:idx val="1"/>
          <c:order val="1"/>
          <c:tx>
            <c:strRef>
              <c:f>Analysis!$A$18</c:f>
              <c:strCache>
                <c:ptCount val="1"/>
                <c:pt idx="0">
                  <c:v>Real GDP, (at 2015 prices)</c:v>
                </c:pt>
              </c:strCache>
            </c:strRef>
          </c:tx>
          <c:spPr>
            <a:ln w="28575" cap="rnd">
              <a:solidFill>
                <a:srgbClr val="E3008C"/>
              </a:solidFill>
              <a:prstDash val="solid"/>
              <a:round/>
            </a:ln>
          </c:spPr>
          <c:marker>
            <c:symbol val="none"/>
          </c:marker>
          <c:cat>
            <c:strRef>
              <c:f>Analysis!$B$2:$M$2</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Analysis!$B$20:$M$20</c:f>
              <c:numCache>
                <c:formatCode>_(* #,##0.00_);_(* \(#,##0.00\);_(* "-"??_);_(@_)</c:formatCode>
                <c:ptCount val="12"/>
                <c:pt idx="0">
                  <c:v>590695.9869032345</c:v>
                </c:pt>
                <c:pt idx="1">
                  <c:v>601279.04741442658</c:v>
                </c:pt>
                <c:pt idx="2">
                  <c:v>615414.72015092988</c:v>
                </c:pt>
                <c:pt idx="3">
                  <c:v>625532.69999999995</c:v>
                </c:pt>
                <c:pt idx="4">
                  <c:v>638473.96362814866</c:v>
                </c:pt>
                <c:pt idx="5">
                  <c:v>647177.34476815071</c:v>
                </c:pt>
                <c:pt idx="6">
                  <c:v>665688.92838179041</c:v>
                </c:pt>
                <c:pt idx="7">
                  <c:v>673286.80680346023</c:v>
                </c:pt>
                <c:pt idx="8">
                  <c:v>658866.42299553496</c:v>
                </c:pt>
                <c:pt idx="9">
                  <c:v>695496.96743397485</c:v>
                </c:pt>
                <c:pt idx="10">
                  <c:v>716672.4312122839</c:v>
                </c:pt>
                <c:pt idx="11">
                  <c:v>721566.94734086655</c:v>
                </c:pt>
              </c:numCache>
            </c:numRef>
          </c:val>
          <c:smooth val="0"/>
          <c:extLst>
            <c:ext xmlns:c16="http://schemas.microsoft.com/office/drawing/2014/chart" uri="{C3380CC4-5D6E-409C-BE32-E72D297353CC}">
              <c16:uniqueId val="{00000001-A2CC-6F48-BF88-FCE9AEC4752F}"/>
            </c:ext>
          </c:extLst>
        </c:ser>
        <c:dLbls>
          <c:showLegendKey val="0"/>
          <c:showVal val="0"/>
          <c:showCatName val="0"/>
          <c:showSerName val="0"/>
          <c:showPercent val="0"/>
          <c:showBubbleSize val="0"/>
        </c:dLbls>
        <c:smooth val="0"/>
        <c:axId val="42470407"/>
        <c:axId val="42506247"/>
      </c:lineChart>
      <c:catAx>
        <c:axId val="42470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2506247"/>
        <c:crosses val="autoZero"/>
        <c:auto val="1"/>
        <c:lblAlgn val="ctr"/>
        <c:lblOffset val="100"/>
        <c:noMultiLvlLbl val="0"/>
      </c:catAx>
      <c:valAx>
        <c:axId val="42506247"/>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00_);_(* \(#,##0.0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2470407"/>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_tradnl"/>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Annual rate of change of real GDP, %</a:t>
            </a:r>
          </a:p>
        </c:rich>
      </c:tx>
      <c:overlay val="0"/>
      <c:spPr>
        <a:noFill/>
        <a:ln>
          <a:noFill/>
          <a:prstDash val="solid"/>
        </a:ln>
      </c:spPr>
    </c:title>
    <c:autoTitleDeleted val="0"/>
    <c:plotArea>
      <c:layout>
        <c:manualLayout>
          <c:layoutTarget val="inner"/>
          <c:xMode val="edge"/>
          <c:yMode val="edge"/>
          <c:x val="0.1032710791724613"/>
          <c:y val="0.18312125991476119"/>
          <c:w val="0.87514058447870857"/>
          <c:h val="0.64963003940829633"/>
        </c:manualLayout>
      </c:layout>
      <c:lineChart>
        <c:grouping val="standard"/>
        <c:varyColors val="0"/>
        <c:ser>
          <c:idx val="0"/>
          <c:order val="0"/>
          <c:tx>
            <c:strRef>
              <c:f>Analysis!$A$23</c:f>
              <c:strCache>
                <c:ptCount val="1"/>
                <c:pt idx="0">
                  <c:v>Latvia</c:v>
                </c:pt>
              </c:strCache>
            </c:strRef>
          </c:tx>
          <c:spPr>
            <a:ln w="28575" cap="rnd">
              <a:solidFill>
                <a:srgbClr val="637CEF"/>
              </a:solidFill>
              <a:prstDash val="solid"/>
              <a:round/>
            </a:ln>
          </c:spPr>
          <c:marker>
            <c:symbol val="none"/>
          </c:marker>
          <c:cat>
            <c:strRef>
              <c:f>Analysis!$B$22:$M$22</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Analysis!$B$23:$M$23</c:f>
              <c:numCache>
                <c:formatCode>_(* #,##0.00_);_(* \(#,##0.00\);_(* "-"??_);_(@_)</c:formatCode>
                <c:ptCount val="12"/>
                <c:pt idx="1">
                  <c:v>2.0956429503175973</c:v>
                </c:pt>
                <c:pt idx="2">
                  <c:v>2.0950375497924152</c:v>
                </c:pt>
                <c:pt idx="3">
                  <c:v>3.7839645685702417</c:v>
                </c:pt>
                <c:pt idx="4">
                  <c:v>2.5515642972205432</c:v>
                </c:pt>
                <c:pt idx="5">
                  <c:v>3.3984396600422961</c:v>
                </c:pt>
                <c:pt idx="6">
                  <c:v>4.3096459874562898</c:v>
                </c:pt>
                <c:pt idx="7">
                  <c:v>0.67562956138036423</c:v>
                </c:pt>
                <c:pt idx="8">
                  <c:v>-3.4690513666072231</c:v>
                </c:pt>
                <c:pt idx="9">
                  <c:v>6.9423272744058906</c:v>
                </c:pt>
                <c:pt idx="10">
                  <c:v>1.9083978213566999</c:v>
                </c:pt>
                <c:pt idx="11">
                  <c:v>-0.94107912448014863</c:v>
                </c:pt>
              </c:numCache>
            </c:numRef>
          </c:val>
          <c:smooth val="0"/>
          <c:extLst>
            <c:ext xmlns:c16="http://schemas.microsoft.com/office/drawing/2014/chart" uri="{C3380CC4-5D6E-409C-BE32-E72D297353CC}">
              <c16:uniqueId val="{00000000-AC82-BB46-83D7-4ACF1EF9FB67}"/>
            </c:ext>
          </c:extLst>
        </c:ser>
        <c:dLbls>
          <c:showLegendKey val="0"/>
          <c:showVal val="0"/>
          <c:showCatName val="0"/>
          <c:showSerName val="0"/>
          <c:showPercent val="0"/>
          <c:showBubbleSize val="0"/>
        </c:dLbls>
        <c:smooth val="0"/>
        <c:axId val="1203932679"/>
        <c:axId val="1204328967"/>
      </c:lineChart>
      <c:catAx>
        <c:axId val="120393267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04328967"/>
        <c:crossesAt val="0"/>
        <c:auto val="1"/>
        <c:lblAlgn val="ctr"/>
        <c:lblOffset val="100"/>
        <c:noMultiLvlLbl val="0"/>
      </c:catAx>
      <c:valAx>
        <c:axId val="1204328967"/>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00_);_(* \(#,##0.0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03932679"/>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_tradnl"/>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Annual rate of change of real GDP, %</a:t>
            </a:r>
          </a:p>
        </c:rich>
      </c:tx>
      <c:overlay val="0"/>
      <c:spPr>
        <a:noFill/>
        <a:ln>
          <a:noFill/>
          <a:prstDash val="solid"/>
        </a:ln>
      </c:spPr>
    </c:title>
    <c:autoTitleDeleted val="0"/>
    <c:plotArea>
      <c:layout/>
      <c:lineChart>
        <c:grouping val="standard"/>
        <c:varyColors val="0"/>
        <c:ser>
          <c:idx val="0"/>
          <c:order val="0"/>
          <c:tx>
            <c:strRef>
              <c:f>Analysis!$A$24</c:f>
              <c:strCache>
                <c:ptCount val="1"/>
                <c:pt idx="0">
                  <c:v>Switzerland</c:v>
                </c:pt>
              </c:strCache>
            </c:strRef>
          </c:tx>
          <c:spPr>
            <a:ln w="28575" cap="rnd">
              <a:solidFill>
                <a:srgbClr val="637CEF"/>
              </a:solidFill>
              <a:prstDash val="solid"/>
              <a:round/>
            </a:ln>
          </c:spPr>
          <c:marker>
            <c:symbol val="none"/>
          </c:marker>
          <c:cat>
            <c:strRef>
              <c:f>Analysis!$B$22:$M$22</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Analysis!$B$24:$M$24</c:f>
              <c:numCache>
                <c:formatCode>_(* #,##0.00_);_(* \(#,##0.00\);_(* "-"??_);_(@_)</c:formatCode>
                <c:ptCount val="12"/>
                <c:pt idx="1">
                  <c:v>1.7916255985882885</c:v>
                </c:pt>
                <c:pt idx="2">
                  <c:v>2.3509338629523979</c:v>
                </c:pt>
                <c:pt idx="3">
                  <c:v>1.6440912961244392</c:v>
                </c:pt>
                <c:pt idx="4">
                  <c:v>2.0688388677600145</c:v>
                </c:pt>
                <c:pt idx="5">
                  <c:v>1.3631536500791297</c:v>
                </c:pt>
                <c:pt idx="6">
                  <c:v>2.8603571746275147</c:v>
                </c:pt>
                <c:pt idx="7">
                  <c:v>1.1413556839737993</c:v>
                </c:pt>
                <c:pt idx="8">
                  <c:v>-2.1417891546677392</c:v>
                </c:pt>
                <c:pt idx="9">
                  <c:v>5.5596313850536205</c:v>
                </c:pt>
                <c:pt idx="10">
                  <c:v>3.04465220839647</c:v>
                </c:pt>
                <c:pt idx="11">
                  <c:v>0.68295024552615935</c:v>
                </c:pt>
              </c:numCache>
            </c:numRef>
          </c:val>
          <c:smooth val="0"/>
          <c:extLst>
            <c:ext xmlns:c16="http://schemas.microsoft.com/office/drawing/2014/chart" uri="{C3380CC4-5D6E-409C-BE32-E72D297353CC}">
              <c16:uniqueId val="{00000000-6009-F246-80F9-2CE78863F7A4}"/>
            </c:ext>
          </c:extLst>
        </c:ser>
        <c:dLbls>
          <c:showLegendKey val="0"/>
          <c:showVal val="0"/>
          <c:showCatName val="0"/>
          <c:showSerName val="0"/>
          <c:showPercent val="0"/>
          <c:showBubbleSize val="0"/>
        </c:dLbls>
        <c:smooth val="0"/>
        <c:axId val="1204502535"/>
        <c:axId val="1204506119"/>
      </c:lineChart>
      <c:catAx>
        <c:axId val="120450253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04506119"/>
        <c:crosses val="autoZero"/>
        <c:auto val="1"/>
        <c:lblAlgn val="ctr"/>
        <c:lblOffset val="100"/>
        <c:noMultiLvlLbl val="0"/>
      </c:catAx>
      <c:valAx>
        <c:axId val="1204506119"/>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00_);_(* \(#,##0.0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0450253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_tradnl"/>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s-ES"/>
              <a:t>Annual</a:t>
            </a:r>
            <a:r>
              <a:rPr lang="es-ES" baseline="0"/>
              <a:t> inflation rate</a:t>
            </a:r>
            <a:endParaRPr lang="es-ES"/>
          </a:p>
        </c:rich>
      </c:tx>
      <c:overlay val="0"/>
      <c:spPr>
        <a:noFill/>
        <a:ln>
          <a:noFill/>
          <a:prstDash val="solid"/>
        </a:ln>
      </c:spPr>
    </c:title>
    <c:autoTitleDeleted val="0"/>
    <c:plotArea>
      <c:layout/>
      <c:lineChart>
        <c:grouping val="standard"/>
        <c:varyColors val="0"/>
        <c:ser>
          <c:idx val="0"/>
          <c:order val="0"/>
          <c:tx>
            <c:strRef>
              <c:f>Analysis!$A$26</c:f>
              <c:strCache>
                <c:ptCount val="1"/>
                <c:pt idx="0">
                  <c:v>Annual inflation rate, CPI</c:v>
                </c:pt>
              </c:strCache>
            </c:strRef>
          </c:tx>
          <c:spPr>
            <a:ln w="28575" cap="rnd">
              <a:solidFill>
                <a:schemeClr val="accent1"/>
              </a:solidFill>
              <a:prstDash val="solid"/>
              <a:round/>
            </a:ln>
          </c:spPr>
          <c:marker>
            <c:symbol val="none"/>
          </c:marker>
          <c:cat>
            <c:strRef>
              <c:f>Analysis!$B$26:$M$26</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Analysis!$B$27:$M$27</c:f>
              <c:numCache>
                <c:formatCode>_(* #,##0.00_);_(* \(#,##0.00\);_(* "-"??_);_(@_)</c:formatCode>
                <c:ptCount val="12"/>
                <c:pt idx="1">
                  <c:v>2.0183671409825431E-2</c:v>
                </c:pt>
                <c:pt idx="2">
                  <c:v>0.68610634648371194</c:v>
                </c:pt>
                <c:pt idx="3">
                  <c:v>0.21044192804889642</c:v>
                </c:pt>
                <c:pt idx="4">
                  <c:v>9.9999999999994316E-2</c:v>
                </c:pt>
                <c:pt idx="5">
                  <c:v>2.8971028971029029</c:v>
                </c:pt>
                <c:pt idx="6">
                  <c:v>2.5533980582524229</c:v>
                </c:pt>
                <c:pt idx="7">
                  <c:v>2.7454321688914192</c:v>
                </c:pt>
                <c:pt idx="8">
                  <c:v>8.2926379802822636E-2</c:v>
                </c:pt>
                <c:pt idx="9">
                  <c:v>3.2406554962253691</c:v>
                </c:pt>
                <c:pt idx="10">
                  <c:v>17.237381844123416</c:v>
                </c:pt>
                <c:pt idx="11">
                  <c:v>9.0591009355746532</c:v>
                </c:pt>
              </c:numCache>
            </c:numRef>
          </c:val>
          <c:smooth val="0"/>
          <c:extLst>
            <c:ext xmlns:c16="http://schemas.microsoft.com/office/drawing/2014/chart" uri="{C3380CC4-5D6E-409C-BE32-E72D297353CC}">
              <c16:uniqueId val="{00000000-C609-7948-B1CC-8E99F36D2C97}"/>
            </c:ext>
          </c:extLst>
        </c:ser>
        <c:ser>
          <c:idx val="1"/>
          <c:order val="1"/>
          <c:tx>
            <c:strRef>
              <c:f>Analysis!$A$30</c:f>
              <c:strCache>
                <c:ptCount val="1"/>
                <c:pt idx="0">
                  <c:v>Annual inflation rate, GDP Deflactor</c:v>
                </c:pt>
              </c:strCache>
            </c:strRef>
          </c:tx>
          <c:spPr>
            <a:ln w="28575" cap="rnd">
              <a:solidFill>
                <a:schemeClr val="accent3"/>
              </a:solidFill>
              <a:prstDash val="solid"/>
              <a:round/>
            </a:ln>
          </c:spPr>
          <c:marker>
            <c:symbol val="none"/>
          </c:marker>
          <c:cat>
            <c:strRef>
              <c:f>Analysis!$B$26:$M$26</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Analysis!$B$31:$M$31</c:f>
              <c:numCache>
                <c:formatCode>_(* #,##0.00_);_(* \(#,##0.00\);_(* "-"??_);_(@_)</c:formatCode>
                <c:ptCount val="12"/>
                <c:pt idx="1">
                  <c:v>1.2908884532040086</c:v>
                </c:pt>
                <c:pt idx="2">
                  <c:v>1.4812400036674378</c:v>
                </c:pt>
                <c:pt idx="3">
                  <c:v>0.38648797871806972</c:v>
                </c:pt>
                <c:pt idx="4">
                  <c:v>0.60800000000000409</c:v>
                </c:pt>
                <c:pt idx="5">
                  <c:v>2.7095260814249356</c:v>
                </c:pt>
                <c:pt idx="6">
                  <c:v>3.7402984496874159</c:v>
                </c:pt>
                <c:pt idx="7">
                  <c:v>4.316271607011255</c:v>
                </c:pt>
                <c:pt idx="8">
                  <c:v>2.3930034160213207</c:v>
                </c:pt>
                <c:pt idx="9">
                  <c:v>3.297758991109335</c:v>
                </c:pt>
                <c:pt idx="10">
                  <c:v>9.6924195539322486</c:v>
                </c:pt>
                <c:pt idx="11">
                  <c:v>10.671948944828973</c:v>
                </c:pt>
              </c:numCache>
            </c:numRef>
          </c:val>
          <c:smooth val="0"/>
          <c:extLst>
            <c:ext xmlns:c16="http://schemas.microsoft.com/office/drawing/2014/chart" uri="{C3380CC4-5D6E-409C-BE32-E72D297353CC}">
              <c16:uniqueId val="{00000001-C609-7948-B1CC-8E99F36D2C97}"/>
            </c:ext>
          </c:extLst>
        </c:ser>
        <c:dLbls>
          <c:showLegendKey val="0"/>
          <c:showVal val="0"/>
          <c:showCatName val="0"/>
          <c:showSerName val="0"/>
          <c:showPercent val="0"/>
          <c:showBubbleSize val="0"/>
        </c:dLbls>
        <c:smooth val="0"/>
        <c:axId val="1597462736"/>
        <c:axId val="1597448336"/>
      </c:lineChart>
      <c:catAx>
        <c:axId val="15974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crossAx val="1597448336"/>
        <c:crosses val="autoZero"/>
        <c:auto val="1"/>
        <c:lblAlgn val="ctr"/>
        <c:lblOffset val="100"/>
        <c:noMultiLvlLbl val="0"/>
      </c:catAx>
      <c:valAx>
        <c:axId val="1597448336"/>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00_);_(* \(#,##0.0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crossAx val="159746273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_tradnl"/>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Annual inflation rate</a:t>
            </a:r>
          </a:p>
        </c:rich>
      </c:tx>
      <c:overlay val="0"/>
      <c:spPr>
        <a:noFill/>
        <a:ln>
          <a:noFill/>
          <a:prstDash val="solid"/>
        </a:ln>
      </c:spPr>
    </c:title>
    <c:autoTitleDeleted val="0"/>
    <c:plotArea>
      <c:layout/>
      <c:lineChart>
        <c:grouping val="standard"/>
        <c:varyColors val="0"/>
        <c:ser>
          <c:idx val="0"/>
          <c:order val="0"/>
          <c:tx>
            <c:strRef>
              <c:f>Analysis!$A$26</c:f>
              <c:strCache>
                <c:ptCount val="1"/>
                <c:pt idx="0">
                  <c:v>Annual inflation rate, CPI</c:v>
                </c:pt>
              </c:strCache>
            </c:strRef>
          </c:tx>
          <c:spPr>
            <a:ln w="28575" cap="rnd">
              <a:solidFill>
                <a:schemeClr val="accent1"/>
              </a:solidFill>
              <a:prstDash val="solid"/>
              <a:round/>
            </a:ln>
          </c:spPr>
          <c:marker>
            <c:symbol val="none"/>
          </c:marker>
          <c:cat>
            <c:strRef>
              <c:f>Analysis!$B$26:$M$26</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Analysis!$B$28:$M$28</c:f>
              <c:numCache>
                <c:formatCode>_(* #,##0.00_);_(* \(#,##0.00\);_(* "-"??_);_(@_)</c:formatCode>
                <c:ptCount val="12"/>
                <c:pt idx="1">
                  <c:v>6.9472012703446981E-2</c:v>
                </c:pt>
                <c:pt idx="2">
                  <c:v>9.9176832292027332E-3</c:v>
                </c:pt>
                <c:pt idx="3">
                  <c:v>-0.83300277667592548</c:v>
                </c:pt>
                <c:pt idx="4">
                  <c:v>-0.53000000000000114</c:v>
                </c:pt>
                <c:pt idx="5">
                  <c:v>0.64341007338896206</c:v>
                </c:pt>
                <c:pt idx="6">
                  <c:v>0.9189891119768272</c:v>
                </c:pt>
                <c:pt idx="7">
                  <c:v>0.37612590319706568</c:v>
                </c:pt>
                <c:pt idx="8">
                  <c:v>-0.83818163889162245</c:v>
                </c:pt>
                <c:pt idx="9">
                  <c:v>0.47732696897375093</c:v>
                </c:pt>
                <c:pt idx="10">
                  <c:v>2.6722090261282543</c:v>
                </c:pt>
                <c:pt idx="11">
                  <c:v>2.2749180643917484</c:v>
                </c:pt>
              </c:numCache>
            </c:numRef>
          </c:val>
          <c:smooth val="0"/>
          <c:extLst>
            <c:ext xmlns:c16="http://schemas.microsoft.com/office/drawing/2014/chart" uri="{C3380CC4-5D6E-409C-BE32-E72D297353CC}">
              <c16:uniqueId val="{00000000-6DB6-6E44-A792-D4EA5E85554C}"/>
            </c:ext>
          </c:extLst>
        </c:ser>
        <c:ser>
          <c:idx val="1"/>
          <c:order val="1"/>
          <c:tx>
            <c:strRef>
              <c:f>Analysis!$A$30</c:f>
              <c:strCache>
                <c:ptCount val="1"/>
                <c:pt idx="0">
                  <c:v>Annual inflation rate, GDP Deflactor</c:v>
                </c:pt>
              </c:strCache>
            </c:strRef>
          </c:tx>
          <c:spPr>
            <a:ln w="28575" cap="rnd">
              <a:solidFill>
                <a:schemeClr val="accent2"/>
              </a:solidFill>
              <a:prstDash val="solid"/>
              <a:round/>
            </a:ln>
          </c:spPr>
          <c:marker>
            <c:symbol val="none"/>
          </c:marker>
          <c:cat>
            <c:strRef>
              <c:f>Analysis!$B$26:$M$26</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Analysis!$B$32:$M$32</c:f>
              <c:numCache>
                <c:formatCode>_(* #,##0.00_);_(* \(#,##0.00\);_(* "-"??_);_(@_)</c:formatCode>
                <c:ptCount val="12"/>
                <c:pt idx="1">
                  <c:v>-2.1802132648997716</c:v>
                </c:pt>
                <c:pt idx="2">
                  <c:v>0.69544174685919835</c:v>
                </c:pt>
                <c:pt idx="3">
                  <c:v>12.298984817177249</c:v>
                </c:pt>
                <c:pt idx="4">
                  <c:v>-2.6170000000000044</c:v>
                </c:pt>
                <c:pt idx="5">
                  <c:v>-2.2950617664274047</c:v>
                </c:pt>
                <c:pt idx="6">
                  <c:v>-3.0132004876613174</c:v>
                </c:pt>
                <c:pt idx="7">
                  <c:v>3.7223263727094289</c:v>
                </c:pt>
                <c:pt idx="8">
                  <c:v>3.1875548497638873</c:v>
                </c:pt>
                <c:pt idx="9">
                  <c:v>0.32804479228892047</c:v>
                </c:pt>
                <c:pt idx="10">
                  <c:v>10.874852408392297</c:v>
                </c:pt>
                <c:pt idx="11">
                  <c:v>4.3124869159984343</c:v>
                </c:pt>
              </c:numCache>
            </c:numRef>
          </c:val>
          <c:smooth val="0"/>
          <c:extLst>
            <c:ext xmlns:c16="http://schemas.microsoft.com/office/drawing/2014/chart" uri="{C3380CC4-5D6E-409C-BE32-E72D297353CC}">
              <c16:uniqueId val="{00000001-6DB6-6E44-A792-D4EA5E85554C}"/>
            </c:ext>
          </c:extLst>
        </c:ser>
        <c:dLbls>
          <c:showLegendKey val="0"/>
          <c:showVal val="0"/>
          <c:showCatName val="0"/>
          <c:showSerName val="0"/>
          <c:showPercent val="0"/>
          <c:showBubbleSize val="0"/>
        </c:dLbls>
        <c:smooth val="0"/>
        <c:axId val="1199339216"/>
        <c:axId val="1199331536"/>
      </c:lineChart>
      <c:catAx>
        <c:axId val="119933921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crossAx val="1199331536"/>
        <c:crosses val="autoZero"/>
        <c:auto val="1"/>
        <c:lblAlgn val="ctr"/>
        <c:lblOffset val="100"/>
        <c:noMultiLvlLbl val="0"/>
      </c:catAx>
      <c:valAx>
        <c:axId val="1199331536"/>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00_);_(* \(#,##0.0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crossAx val="119933921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_tradnl"/>
  <c:roundedCorners val="1"/>
  <c:style val="2"/>
  <c:chart>
    <c:title>
      <c:tx>
        <c:rich>
          <a:bodyPr/>
          <a:lstStyle/>
          <a:p>
            <a:endParaRPr lang="es-ES"/>
          </a:p>
        </c:rich>
      </c:tx>
      <c:overlay val="0"/>
      <c:spPr>
        <a:noFill/>
        <a:ln>
          <a:noFill/>
          <a:prstDash val="solid"/>
        </a:ln>
      </c:spPr>
    </c:title>
    <c:autoTitleDeleted val="0"/>
    <c:plotArea>
      <c:layout/>
      <c:lineChart>
        <c:grouping val="standard"/>
        <c:varyColors val="0"/>
        <c:ser>
          <c:idx val="0"/>
          <c:order val="0"/>
          <c:tx>
            <c:strRef>
              <c:f>Analysis!$A$15</c:f>
              <c:strCache>
                <c:ptCount val="1"/>
                <c:pt idx="0">
                  <c:v>Latvia</c:v>
                </c:pt>
              </c:strCache>
            </c:strRef>
          </c:tx>
          <c:spPr>
            <a:ln w="28575" cap="rnd">
              <a:solidFill>
                <a:schemeClr val="accent1"/>
              </a:solidFill>
              <a:prstDash val="solid"/>
              <a:round/>
            </a:ln>
          </c:spPr>
          <c:marker>
            <c:symbol val="none"/>
          </c:marker>
          <c:cat>
            <c:strRef>
              <c:f>Analysis!$B$14:$M$14</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Analysis!$B$15:$M$15</c:f>
              <c:numCache>
                <c:formatCode>_(* #,##0.00_);_(* \(#,##0.00\);_(* "-"??_);_(@_)</c:formatCode>
                <c:ptCount val="12"/>
                <c:pt idx="0">
                  <c:v>15.1</c:v>
                </c:pt>
                <c:pt idx="1">
                  <c:v>11.9</c:v>
                </c:pt>
                <c:pt idx="2">
                  <c:v>10.9</c:v>
                </c:pt>
                <c:pt idx="3">
                  <c:v>9.9</c:v>
                </c:pt>
                <c:pt idx="4">
                  <c:v>9.6999999999999993</c:v>
                </c:pt>
                <c:pt idx="5">
                  <c:v>8.6999999999999993</c:v>
                </c:pt>
                <c:pt idx="6">
                  <c:v>7.4</c:v>
                </c:pt>
                <c:pt idx="7">
                  <c:v>6.3</c:v>
                </c:pt>
                <c:pt idx="8">
                  <c:v>8.1</c:v>
                </c:pt>
                <c:pt idx="9">
                  <c:v>7.6</c:v>
                </c:pt>
                <c:pt idx="10">
                  <c:v>6.9</c:v>
                </c:pt>
                <c:pt idx="11">
                  <c:v>6.5</c:v>
                </c:pt>
              </c:numCache>
            </c:numRef>
          </c:val>
          <c:smooth val="0"/>
          <c:extLst>
            <c:ext xmlns:c16="http://schemas.microsoft.com/office/drawing/2014/chart" uri="{C3380CC4-5D6E-409C-BE32-E72D297353CC}">
              <c16:uniqueId val="{00000000-7549-A24E-9EC3-427C56714AFF}"/>
            </c:ext>
          </c:extLst>
        </c:ser>
        <c:dLbls>
          <c:showLegendKey val="0"/>
          <c:showVal val="0"/>
          <c:showCatName val="0"/>
          <c:showSerName val="0"/>
          <c:showPercent val="0"/>
          <c:showBubbleSize val="0"/>
        </c:dLbls>
        <c:smooth val="0"/>
        <c:axId val="121146336"/>
        <c:axId val="121143936"/>
      </c:lineChart>
      <c:catAx>
        <c:axId val="12114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crossAx val="121143936"/>
        <c:crosses val="autoZero"/>
        <c:auto val="1"/>
        <c:lblAlgn val="ctr"/>
        <c:lblOffset val="100"/>
        <c:noMultiLvlLbl val="0"/>
      </c:catAx>
      <c:valAx>
        <c:axId val="121143936"/>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00_);_(* \(#,##0.0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crossAx val="12114633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_tradnl"/>
  <c:roundedCorners val="1"/>
  <c:style val="2"/>
  <c:chart>
    <c:title>
      <c:tx>
        <c:rich>
          <a:bodyPr/>
          <a:lstStyle/>
          <a:p>
            <a:endParaRPr lang="es-ES"/>
          </a:p>
        </c:rich>
      </c:tx>
      <c:overlay val="0"/>
      <c:spPr>
        <a:noFill/>
        <a:ln>
          <a:noFill/>
          <a:prstDash val="solid"/>
        </a:ln>
      </c:spPr>
    </c:title>
    <c:autoTitleDeleted val="0"/>
    <c:plotArea>
      <c:layout/>
      <c:lineChart>
        <c:grouping val="standard"/>
        <c:varyColors val="0"/>
        <c:ser>
          <c:idx val="0"/>
          <c:order val="0"/>
          <c:tx>
            <c:strRef>
              <c:f>Analysis!$A$16</c:f>
              <c:strCache>
                <c:ptCount val="1"/>
                <c:pt idx="0">
                  <c:v>Switzerland</c:v>
                </c:pt>
              </c:strCache>
            </c:strRef>
          </c:tx>
          <c:spPr>
            <a:ln w="28575" cap="rnd">
              <a:solidFill>
                <a:schemeClr val="accent1"/>
              </a:solidFill>
              <a:prstDash val="solid"/>
              <a:round/>
            </a:ln>
          </c:spPr>
          <c:marker>
            <c:symbol val="none"/>
          </c:marker>
          <c:cat>
            <c:strRef>
              <c:f>Analysis!$B$14:$M$14</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Analysis!$B$16:$M$16</c:f>
              <c:numCache>
                <c:formatCode>_(* #,##0.00_);_(* \(#,##0.00\);_(* "-"??_);_(@_)</c:formatCode>
                <c:ptCount val="12"/>
                <c:pt idx="0">
                  <c:v>4.5</c:v>
                </c:pt>
                <c:pt idx="1">
                  <c:v>4.8</c:v>
                </c:pt>
                <c:pt idx="2">
                  <c:v>4.9000000000000004</c:v>
                </c:pt>
                <c:pt idx="3">
                  <c:v>4.8</c:v>
                </c:pt>
                <c:pt idx="4">
                  <c:v>5</c:v>
                </c:pt>
                <c:pt idx="5">
                  <c:v>4.8</c:v>
                </c:pt>
                <c:pt idx="6">
                  <c:v>4.7</c:v>
                </c:pt>
                <c:pt idx="7">
                  <c:v>4.4000000000000004</c:v>
                </c:pt>
                <c:pt idx="8">
                  <c:v>4.8</c:v>
                </c:pt>
                <c:pt idx="9">
                  <c:v>5.0999999999999996</c:v>
                </c:pt>
                <c:pt idx="10">
                  <c:v>4.0999999999999996</c:v>
                </c:pt>
                <c:pt idx="11">
                  <c:v>4.0999999999999996</c:v>
                </c:pt>
              </c:numCache>
            </c:numRef>
          </c:val>
          <c:smooth val="0"/>
          <c:extLst>
            <c:ext xmlns:c16="http://schemas.microsoft.com/office/drawing/2014/chart" uri="{C3380CC4-5D6E-409C-BE32-E72D297353CC}">
              <c16:uniqueId val="{00000000-1D0B-6046-B845-AF43358002EE}"/>
            </c:ext>
          </c:extLst>
        </c:ser>
        <c:dLbls>
          <c:showLegendKey val="0"/>
          <c:showVal val="0"/>
          <c:showCatName val="0"/>
          <c:showSerName val="0"/>
          <c:showPercent val="0"/>
          <c:showBubbleSize val="0"/>
        </c:dLbls>
        <c:smooth val="0"/>
        <c:axId val="116674176"/>
        <c:axId val="116664576"/>
      </c:lineChart>
      <c:catAx>
        <c:axId val="11667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crossAx val="116664576"/>
        <c:crosses val="autoZero"/>
        <c:auto val="1"/>
        <c:lblAlgn val="ctr"/>
        <c:lblOffset val="100"/>
        <c:noMultiLvlLbl val="0"/>
      </c:catAx>
      <c:valAx>
        <c:axId val="116664576"/>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00_);_(* \(#,##0.0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crossAx val="11667417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_tradnl"/>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Latvia</a:t>
            </a:r>
          </a:p>
        </c:rich>
      </c:tx>
      <c:overlay val="0"/>
      <c:spPr>
        <a:noFill/>
        <a:ln>
          <a:noFill/>
          <a:prstDash val="solid"/>
        </a:ln>
      </c:spPr>
    </c:title>
    <c:autoTitleDeleted val="0"/>
    <c:plotArea>
      <c:layout/>
      <c:lineChart>
        <c:grouping val="standard"/>
        <c:varyColors val="0"/>
        <c:ser>
          <c:idx val="1"/>
          <c:order val="0"/>
          <c:tx>
            <c:strRef>
              <c:f>Analysis!$T$61</c:f>
              <c:strCache>
                <c:ptCount val="1"/>
                <c:pt idx="0">
                  <c:v>Trade Openess Index</c:v>
                </c:pt>
              </c:strCache>
            </c:strRef>
          </c:tx>
          <c:spPr>
            <a:ln w="28575" cap="rnd">
              <a:solidFill>
                <a:schemeClr val="accent2"/>
              </a:solidFill>
              <a:prstDash val="solid"/>
              <a:round/>
            </a:ln>
          </c:spPr>
          <c:marker>
            <c:symbol val="none"/>
          </c:marker>
          <c:val>
            <c:numRef>
              <c:f>Analysis!$U$62:$AF$62</c:f>
              <c:numCache>
                <c:formatCode>0%</c:formatCode>
                <c:ptCount val="12"/>
                <c:pt idx="0">
                  <c:v>1.2766271510391758</c:v>
                </c:pt>
                <c:pt idx="1">
                  <c:v>1.2535447813201352</c:v>
                </c:pt>
                <c:pt idx="2">
                  <c:v>1.285713856721566</c:v>
                </c:pt>
                <c:pt idx="3">
                  <c:v>1.2638001440600619</c:v>
                </c:pt>
                <c:pt idx="4">
                  <c:v>1.2821731355439723</c:v>
                </c:pt>
                <c:pt idx="5">
                  <c:v>1.3332862558998742</c:v>
                </c:pt>
                <c:pt idx="6">
                  <c:v>1.3467908783224385</c:v>
                </c:pt>
                <c:pt idx="7">
                  <c:v>1.3480241202524683</c:v>
                </c:pt>
                <c:pt idx="8">
                  <c:v>1.3863062973533498</c:v>
                </c:pt>
                <c:pt idx="9">
                  <c:v>1.4548262515373789</c:v>
                </c:pt>
                <c:pt idx="10">
                  <c:v>1.5806324509260317</c:v>
                </c:pt>
                <c:pt idx="11">
                  <c:v>1.503418720310421</c:v>
                </c:pt>
              </c:numCache>
            </c:numRef>
          </c:val>
          <c:smooth val="0"/>
          <c:extLst>
            <c:ext xmlns:c16="http://schemas.microsoft.com/office/drawing/2014/chart" uri="{C3380CC4-5D6E-409C-BE32-E72D297353CC}">
              <c16:uniqueId val="{00000000-E7DB-9540-9879-6CB23A08893F}"/>
            </c:ext>
          </c:extLst>
        </c:ser>
        <c:dLbls>
          <c:showLegendKey val="0"/>
          <c:showVal val="0"/>
          <c:showCatName val="0"/>
          <c:showSerName val="0"/>
          <c:showPercent val="0"/>
          <c:showBubbleSize val="0"/>
        </c:dLbls>
        <c:smooth val="0"/>
        <c:axId val="1233832272"/>
        <c:axId val="1233829872"/>
      </c:lineChart>
      <c:catAx>
        <c:axId val="1233832272"/>
        <c:scaling>
          <c:orientation val="minMax"/>
        </c:scaling>
        <c:delete val="0"/>
        <c:axPos val="b"/>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crossAx val="1233829872"/>
        <c:crosses val="autoZero"/>
        <c:auto val="1"/>
        <c:lblAlgn val="ctr"/>
        <c:lblOffset val="100"/>
        <c:noMultiLvlLbl val="0"/>
      </c:catAx>
      <c:valAx>
        <c:axId val="1233829872"/>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crossAx val="12338322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_tradnl"/>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Switzerland</a:t>
            </a:r>
          </a:p>
        </c:rich>
      </c:tx>
      <c:overlay val="0"/>
      <c:spPr>
        <a:noFill/>
        <a:ln>
          <a:noFill/>
          <a:prstDash val="solid"/>
        </a:ln>
      </c:spPr>
    </c:title>
    <c:autoTitleDeleted val="0"/>
    <c:plotArea>
      <c:layout/>
      <c:lineChart>
        <c:grouping val="standard"/>
        <c:varyColors val="0"/>
        <c:ser>
          <c:idx val="1"/>
          <c:order val="0"/>
          <c:tx>
            <c:strRef>
              <c:f>Analysis!$T$61</c:f>
              <c:strCache>
                <c:ptCount val="1"/>
                <c:pt idx="0">
                  <c:v>Trade Openess Index</c:v>
                </c:pt>
              </c:strCache>
            </c:strRef>
          </c:tx>
          <c:spPr>
            <a:ln w="28575" cap="rnd">
              <a:solidFill>
                <a:schemeClr val="accent2"/>
              </a:solidFill>
              <a:prstDash val="solid"/>
              <a:round/>
            </a:ln>
          </c:spPr>
          <c:marker>
            <c:symbol val="none"/>
          </c:marker>
          <c:val>
            <c:numRef>
              <c:f>Analysis!$U$63:$AF$63</c:f>
              <c:numCache>
                <c:formatCode>0%</c:formatCode>
                <c:ptCount val="12"/>
                <c:pt idx="0">
                  <c:v>1.1131767129749981</c:v>
                </c:pt>
                <c:pt idx="1">
                  <c:v>1.2389515130404134</c:v>
                </c:pt>
                <c:pt idx="2">
                  <c:v>1.1399889831970758</c:v>
                </c:pt>
                <c:pt idx="3">
                  <c:v>1.1713848221887198</c:v>
                </c:pt>
                <c:pt idx="4">
                  <c:v>1.2126328137565421</c:v>
                </c:pt>
                <c:pt idx="5">
                  <c:v>1.1917639943116223</c:v>
                </c:pt>
                <c:pt idx="6">
                  <c:v>1.1839240400956998</c:v>
                </c:pt>
                <c:pt idx="7">
                  <c:v>1.1676240470843784</c:v>
                </c:pt>
                <c:pt idx="8">
                  <c:v>1.1417016549610559</c:v>
                </c:pt>
                <c:pt idx="9">
                  <c:v>1.1913153941453676</c:v>
                </c:pt>
                <c:pt idx="10">
                  <c:v>1.2250955659055207</c:v>
                </c:pt>
                <c:pt idx="11">
                  <c:v>1.2359616800353226</c:v>
                </c:pt>
              </c:numCache>
            </c:numRef>
          </c:val>
          <c:smooth val="0"/>
          <c:extLst>
            <c:ext xmlns:c16="http://schemas.microsoft.com/office/drawing/2014/chart" uri="{C3380CC4-5D6E-409C-BE32-E72D297353CC}">
              <c16:uniqueId val="{00000000-767D-D449-9702-A83990E2EAE4}"/>
            </c:ext>
          </c:extLst>
        </c:ser>
        <c:dLbls>
          <c:showLegendKey val="0"/>
          <c:showVal val="0"/>
          <c:showCatName val="0"/>
          <c:showSerName val="0"/>
          <c:showPercent val="0"/>
          <c:showBubbleSize val="0"/>
        </c:dLbls>
        <c:smooth val="0"/>
        <c:axId val="1257927968"/>
        <c:axId val="1257928928"/>
      </c:lineChart>
      <c:catAx>
        <c:axId val="1257927968"/>
        <c:scaling>
          <c:orientation val="minMax"/>
        </c:scaling>
        <c:delete val="0"/>
        <c:axPos val="b"/>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crossAx val="1257928928"/>
        <c:crosses val="autoZero"/>
        <c:auto val="1"/>
        <c:lblAlgn val="ctr"/>
        <c:lblOffset val="100"/>
        <c:noMultiLvlLbl val="0"/>
      </c:catAx>
      <c:valAx>
        <c:axId val="1257928928"/>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crossAx val="1257927968"/>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25</xdr:col>
      <xdr:colOff>555624</xdr:colOff>
      <xdr:row>1</xdr:row>
      <xdr:rowOff>111125</xdr:rowOff>
    </xdr:from>
    <xdr:to>
      <xdr:col>37</xdr:col>
      <xdr:colOff>571499</xdr:colOff>
      <xdr:row>22</xdr:row>
      <xdr:rowOff>93663</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130551</xdr:colOff>
      <xdr:row>45</xdr:row>
      <xdr:rowOff>155292</xdr:rowOff>
    </xdr:from>
    <xdr:to>
      <xdr:col>4</xdr:col>
      <xdr:colOff>340616</xdr:colOff>
      <xdr:row>64</xdr:row>
      <xdr:rowOff>30983</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582622</xdr:colOff>
      <xdr:row>45</xdr:row>
      <xdr:rowOff>67882</xdr:rowOff>
    </xdr:from>
    <xdr:to>
      <xdr:col>11</xdr:col>
      <xdr:colOff>393152</xdr:colOff>
      <xdr:row>63</xdr:row>
      <xdr:rowOff>134550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66</xdr:row>
      <xdr:rowOff>123146</xdr:rowOff>
    </xdr:from>
    <xdr:to>
      <xdr:col>4</xdr:col>
      <xdr:colOff>322167</xdr:colOff>
      <xdr:row>81</xdr:row>
      <xdr:rowOff>22996</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590934</xdr:colOff>
      <xdr:row>66</xdr:row>
      <xdr:rowOff>109332</xdr:rowOff>
    </xdr:from>
    <xdr:to>
      <xdr:col>11</xdr:col>
      <xdr:colOff>544784</xdr:colOff>
      <xdr:row>81</xdr:row>
      <xdr:rowOff>11481</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84</xdr:row>
      <xdr:rowOff>163621</xdr:rowOff>
    </xdr:from>
    <xdr:to>
      <xdr:col>4</xdr:col>
      <xdr:colOff>315189</xdr:colOff>
      <xdr:row>99</xdr:row>
      <xdr:rowOff>142453</xdr:rowOff>
    </xdr:to>
    <xdr:graphicFrame macro="">
      <xdr:nvGraphicFramePr>
        <xdr:cNvPr id="6" name="Chart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620570</xdr:colOff>
      <xdr:row>85</xdr:row>
      <xdr:rowOff>40227</xdr:rowOff>
    </xdr:from>
    <xdr:to>
      <xdr:col>11</xdr:col>
      <xdr:colOff>551987</xdr:colOff>
      <xdr:row>99</xdr:row>
      <xdr:rowOff>149665</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89647</xdr:colOff>
      <xdr:row>103</xdr:row>
      <xdr:rowOff>178832</xdr:rowOff>
    </xdr:from>
    <xdr:to>
      <xdr:col>4</xdr:col>
      <xdr:colOff>375307</xdr:colOff>
      <xdr:row>119</xdr:row>
      <xdr:rowOff>56662</xdr:rowOff>
    </xdr:to>
    <xdr:graphicFrame macro="">
      <xdr:nvGraphicFramePr>
        <xdr:cNvPr id="8" name="Chart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703257</xdr:colOff>
      <xdr:row>104</xdr:row>
      <xdr:rowOff>74694</xdr:rowOff>
    </xdr:from>
    <xdr:to>
      <xdr:col>11</xdr:col>
      <xdr:colOff>597266</xdr:colOff>
      <xdr:row>119</xdr:row>
      <xdr:rowOff>131637</xdr:rowOff>
    </xdr:to>
    <xdr:graphicFrame macro="">
      <xdr:nvGraphicFramePr>
        <xdr:cNvPr id="9" name="Chart 8">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411078</xdr:colOff>
      <xdr:row>66</xdr:row>
      <xdr:rowOff>2006</xdr:rowOff>
    </xdr:from>
    <xdr:to>
      <xdr:col>19</xdr:col>
      <xdr:colOff>4983078</xdr:colOff>
      <xdr:row>81</xdr:row>
      <xdr:rowOff>38101</xdr:rowOff>
    </xdr:to>
    <xdr:graphicFrame macro="">
      <xdr:nvGraphicFramePr>
        <xdr:cNvPr id="10" name="Chart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1143000</xdr:colOff>
      <xdr:row>66</xdr:row>
      <xdr:rowOff>2004</xdr:rowOff>
    </xdr:from>
    <xdr:to>
      <xdr:col>24</xdr:col>
      <xdr:colOff>992605</xdr:colOff>
      <xdr:row>81</xdr:row>
      <xdr:rowOff>38099</xdr:rowOff>
    </xdr:to>
    <xdr:graphicFrame macro="">
      <xdr:nvGraphicFramePr>
        <xdr:cNvPr id="11" name="Chart 10">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a5" displayName="Tabla5" ref="A31:Y33" totalsRowShown="0">
  <autoFilter ref="A31:Y33" xr:uid="{00000000-0009-0000-0100-000006000000}"/>
  <tableColumns count="25">
    <tableColumn id="1" xr3:uid="{00000000-0010-0000-0500-000001000000}" name="Nominal GDP"/>
    <tableColumn id="2" xr3:uid="{00000000-0010-0000-0500-000002000000}" name="Columna3"/>
    <tableColumn id="3" xr3:uid="{00000000-0010-0000-0500-000003000000}" name="2012"/>
    <tableColumn id="4" xr3:uid="{00000000-0010-0000-0500-000004000000}" name="Columna2"/>
    <tableColumn id="5" xr3:uid="{00000000-0010-0000-0500-000005000000}" name="2013"/>
    <tableColumn id="6" xr3:uid="{00000000-0010-0000-0500-000006000000}" name="Columna6"/>
    <tableColumn id="7" xr3:uid="{00000000-0010-0000-0500-000007000000}" name="2014"/>
    <tableColumn id="8" xr3:uid="{00000000-0010-0000-0500-000008000000}" name="Columna8"/>
    <tableColumn id="9" xr3:uid="{00000000-0010-0000-0500-000009000000}" name="2015"/>
    <tableColumn id="10" xr3:uid="{00000000-0010-0000-0500-00000A000000}" name="Columna10"/>
    <tableColumn id="11" xr3:uid="{00000000-0010-0000-0500-00000B000000}" name="2016"/>
    <tableColumn id="12" xr3:uid="{00000000-0010-0000-0500-00000C000000}" name="Columna12"/>
    <tableColumn id="13" xr3:uid="{00000000-0010-0000-0500-00000D000000}" name="2017"/>
    <tableColumn id="14" xr3:uid="{00000000-0010-0000-0500-00000E000000}" name="Columna14"/>
    <tableColumn id="15" xr3:uid="{00000000-0010-0000-0500-00000F000000}" name="2018"/>
    <tableColumn id="16" xr3:uid="{00000000-0010-0000-0500-000010000000}" name="Columna16"/>
    <tableColumn id="17" xr3:uid="{00000000-0010-0000-0500-000011000000}" name="2019"/>
    <tableColumn id="18" xr3:uid="{00000000-0010-0000-0500-000012000000}" name="Columna18"/>
    <tableColumn id="19" xr3:uid="{00000000-0010-0000-0500-000013000000}" name="2020"/>
    <tableColumn id="20" xr3:uid="{00000000-0010-0000-0500-000014000000}" name="Columna20"/>
    <tableColumn id="21" xr3:uid="{00000000-0010-0000-0500-000015000000}" name="2021"/>
    <tableColumn id="22" xr3:uid="{00000000-0010-0000-0500-000016000000}" name="Columna22"/>
    <tableColumn id="23" xr3:uid="{00000000-0010-0000-0500-000017000000}" name="2022"/>
    <tableColumn id="24" xr3:uid="{00000000-0010-0000-0500-000018000000}" name="Columna24"/>
    <tableColumn id="25" xr3:uid="{00000000-0010-0000-0500-000019000000}" name="2023"/>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a2" displayName="Tabla2" ref="A3:Y6" totalsRowShown="0" headerRowDxfId="39" headerRowBorderDxfId="38" tableBorderDxfId="37">
  <autoFilter ref="A3:Y6" xr:uid="{00000000-0009-0000-0100-000007000000}"/>
  <tableColumns count="25">
    <tableColumn id="1" xr3:uid="{00000000-0010-0000-0600-000001000000}" name="Columna1"/>
    <tableColumn id="2" xr3:uid="{00000000-0010-0000-0600-000002000000}" name="Columna2"/>
    <tableColumn id="3" xr3:uid="{00000000-0010-0000-0600-000003000000}" name="Columna3"/>
    <tableColumn id="4" xr3:uid="{00000000-0010-0000-0600-000004000000}" name="Columna4"/>
    <tableColumn id="5" xr3:uid="{00000000-0010-0000-0600-000005000000}" name="Columna5"/>
    <tableColumn id="6" xr3:uid="{00000000-0010-0000-0600-000006000000}" name="Columna6"/>
    <tableColumn id="7" xr3:uid="{00000000-0010-0000-0600-000007000000}" name="Columna7"/>
    <tableColumn id="8" xr3:uid="{00000000-0010-0000-0600-000008000000}" name="Columna8"/>
    <tableColumn id="9" xr3:uid="{00000000-0010-0000-0600-000009000000}" name="Columna9"/>
    <tableColumn id="10" xr3:uid="{00000000-0010-0000-0600-00000A000000}" name="Columna10"/>
    <tableColumn id="11" xr3:uid="{00000000-0010-0000-0600-00000B000000}" name="Columna11"/>
    <tableColumn id="12" xr3:uid="{00000000-0010-0000-0600-00000C000000}" name="Columna12"/>
    <tableColumn id="13" xr3:uid="{00000000-0010-0000-0600-00000D000000}" name="Columna13"/>
    <tableColumn id="14" xr3:uid="{00000000-0010-0000-0600-00000E000000}" name="Columna14"/>
    <tableColumn id="15" xr3:uid="{00000000-0010-0000-0600-00000F000000}" name="Columna15"/>
    <tableColumn id="16" xr3:uid="{00000000-0010-0000-0600-000010000000}" name="Columna16"/>
    <tableColumn id="17" xr3:uid="{00000000-0010-0000-0600-000011000000}" name="Columna17"/>
    <tableColumn id="18" xr3:uid="{00000000-0010-0000-0600-000012000000}" name="Columna18"/>
    <tableColumn id="19" xr3:uid="{00000000-0010-0000-0600-000013000000}" name="Columna19"/>
    <tableColumn id="20" xr3:uid="{00000000-0010-0000-0600-000014000000}" name="Columna20"/>
    <tableColumn id="21" xr3:uid="{00000000-0010-0000-0600-000015000000}" name="Columna21"/>
    <tableColumn id="22" xr3:uid="{00000000-0010-0000-0600-000016000000}" name="Columna22"/>
    <tableColumn id="23" xr3:uid="{00000000-0010-0000-0600-000017000000}" name="Columna23"/>
    <tableColumn id="24" xr3:uid="{00000000-0010-0000-0600-000018000000}" name="Columna24"/>
    <tableColumn id="25" xr3:uid="{00000000-0010-0000-0600-000019000000}" name="Columna2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a7" displayName="Tabla7" ref="A8:Y11" totalsRowShown="0" headerRowDxfId="36" headerRowBorderDxfId="35" tableBorderDxfId="34">
  <autoFilter ref="A8:Y11" xr:uid="{00000000-0009-0000-0100-000008000000}"/>
  <tableColumns count="25">
    <tableColumn id="1" xr3:uid="{00000000-0010-0000-0700-000001000000}" name="TIME"/>
    <tableColumn id="2" xr3:uid="{00000000-0010-0000-0700-000002000000}" name="2012"/>
    <tableColumn id="3" xr3:uid="{00000000-0010-0000-0700-000003000000}" name="Columna1"/>
    <tableColumn id="4" xr3:uid="{00000000-0010-0000-0700-000004000000}" name="2013"/>
    <tableColumn id="5" xr3:uid="{00000000-0010-0000-0700-000005000000}" name="Columna2"/>
    <tableColumn id="6" xr3:uid="{00000000-0010-0000-0700-000006000000}" name="2014"/>
    <tableColumn id="7" xr3:uid="{00000000-0010-0000-0700-000007000000}" name="Columna3"/>
    <tableColumn id="8" xr3:uid="{00000000-0010-0000-0700-000008000000}" name="2015"/>
    <tableColumn id="9" xr3:uid="{00000000-0010-0000-0700-000009000000}" name="Columna4"/>
    <tableColumn id="10" xr3:uid="{00000000-0010-0000-0700-00000A000000}" name="2016"/>
    <tableColumn id="11" xr3:uid="{00000000-0010-0000-0700-00000B000000}" name="Columna5"/>
    <tableColumn id="12" xr3:uid="{00000000-0010-0000-0700-00000C000000}" name="2017"/>
    <tableColumn id="13" xr3:uid="{00000000-0010-0000-0700-00000D000000}" name="Columna6"/>
    <tableColumn id="14" xr3:uid="{00000000-0010-0000-0700-00000E000000}" name="2018"/>
    <tableColumn id="15" xr3:uid="{00000000-0010-0000-0700-00000F000000}" name="Columna7"/>
    <tableColumn id="16" xr3:uid="{00000000-0010-0000-0700-000010000000}" name="2019"/>
    <tableColumn id="17" xr3:uid="{00000000-0010-0000-0700-000011000000}" name="Columna8"/>
    <tableColumn id="18" xr3:uid="{00000000-0010-0000-0700-000012000000}" name="2020"/>
    <tableColumn id="19" xr3:uid="{00000000-0010-0000-0700-000013000000}" name="Columna9"/>
    <tableColumn id="20" xr3:uid="{00000000-0010-0000-0700-000014000000}" name="2021"/>
    <tableColumn id="21" xr3:uid="{00000000-0010-0000-0700-000015000000}" name="Columna10"/>
    <tableColumn id="22" xr3:uid="{00000000-0010-0000-0700-000016000000}" name="2022"/>
    <tableColumn id="23" xr3:uid="{00000000-0010-0000-0700-000017000000}" name="Columna11"/>
    <tableColumn id="24" xr3:uid="{00000000-0010-0000-0700-000018000000}" name="2023"/>
    <tableColumn id="25" xr3:uid="{00000000-0010-0000-0700-000019000000}" name="Columna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a13" displayName="Tabla13" ref="A14:Y17" totalsRowShown="0" headerRowDxfId="33" headerRowBorderDxfId="32" tableBorderDxfId="31">
  <autoFilter ref="A14:Y17" xr:uid="{00000000-0009-0000-0100-000009000000}"/>
  <tableColumns count="25">
    <tableColumn id="1" xr3:uid="{00000000-0010-0000-0800-000001000000}" name="TIME"/>
    <tableColumn id="2" xr3:uid="{00000000-0010-0000-0800-000002000000}" name="2012"/>
    <tableColumn id="3" xr3:uid="{00000000-0010-0000-0800-000003000000}" name="Columna1"/>
    <tableColumn id="4" xr3:uid="{00000000-0010-0000-0800-000004000000}" name="2013"/>
    <tableColumn id="5" xr3:uid="{00000000-0010-0000-0800-000005000000}" name="Columna2"/>
    <tableColumn id="6" xr3:uid="{00000000-0010-0000-0800-000006000000}" name="2014"/>
    <tableColumn id="7" xr3:uid="{00000000-0010-0000-0800-000007000000}" name="Columna3"/>
    <tableColumn id="8" xr3:uid="{00000000-0010-0000-0800-000008000000}" name="2015"/>
    <tableColumn id="9" xr3:uid="{00000000-0010-0000-0800-000009000000}" name="Columna4"/>
    <tableColumn id="10" xr3:uid="{00000000-0010-0000-0800-00000A000000}" name="2016"/>
    <tableColumn id="11" xr3:uid="{00000000-0010-0000-0800-00000B000000}" name="Columna5"/>
    <tableColumn id="12" xr3:uid="{00000000-0010-0000-0800-00000C000000}" name="2017"/>
    <tableColumn id="13" xr3:uid="{00000000-0010-0000-0800-00000D000000}" name="Columna6"/>
    <tableColumn id="14" xr3:uid="{00000000-0010-0000-0800-00000E000000}" name="2018"/>
    <tableColumn id="15" xr3:uid="{00000000-0010-0000-0800-00000F000000}" name="Columna7"/>
    <tableColumn id="16" xr3:uid="{00000000-0010-0000-0800-000010000000}" name="2019"/>
    <tableColumn id="17" xr3:uid="{00000000-0010-0000-0800-000011000000}" name="Columna8"/>
    <tableColumn id="18" xr3:uid="{00000000-0010-0000-0800-000012000000}" name="2020"/>
    <tableColumn id="19" xr3:uid="{00000000-0010-0000-0800-000013000000}" name="Columna9"/>
    <tableColumn id="20" xr3:uid="{00000000-0010-0000-0800-000014000000}" name="2021"/>
    <tableColumn id="21" xr3:uid="{00000000-0010-0000-0800-000015000000}" name="Columna10"/>
    <tableColumn id="22" xr3:uid="{00000000-0010-0000-0800-000016000000}" name="2022"/>
    <tableColumn id="23" xr3:uid="{00000000-0010-0000-0800-000017000000}" name="Columna11"/>
    <tableColumn id="24" xr3:uid="{00000000-0010-0000-0800-000018000000}" name="2023"/>
    <tableColumn id="25" xr3:uid="{00000000-0010-0000-0800-000019000000}" name="Columna1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a17" displayName="Tabla17" ref="A20:Y23" totalsRowShown="0" headerRowDxfId="30" headerRowBorderDxfId="29" tableBorderDxfId="28">
  <autoFilter ref="A20:Y23" xr:uid="{00000000-0009-0000-0100-00000A000000}"/>
  <tableColumns count="25">
    <tableColumn id="1" xr3:uid="{00000000-0010-0000-0900-000001000000}" name="TIME"/>
    <tableColumn id="2" xr3:uid="{00000000-0010-0000-0900-000002000000}" name="2012"/>
    <tableColumn id="3" xr3:uid="{00000000-0010-0000-0900-000003000000}" name="Columna1"/>
    <tableColumn id="4" xr3:uid="{00000000-0010-0000-0900-000004000000}" name="2013"/>
    <tableColumn id="5" xr3:uid="{00000000-0010-0000-0900-000005000000}" name="Columna2"/>
    <tableColumn id="6" xr3:uid="{00000000-0010-0000-0900-000006000000}" name="2014"/>
    <tableColumn id="7" xr3:uid="{00000000-0010-0000-0900-000007000000}" name="Columna3"/>
    <tableColumn id="8" xr3:uid="{00000000-0010-0000-0900-000008000000}" name="2015"/>
    <tableColumn id="9" xr3:uid="{00000000-0010-0000-0900-000009000000}" name="Columna4"/>
    <tableColumn id="10" xr3:uid="{00000000-0010-0000-0900-00000A000000}" name="2016"/>
    <tableColumn id="11" xr3:uid="{00000000-0010-0000-0900-00000B000000}" name="Columna5"/>
    <tableColumn id="12" xr3:uid="{00000000-0010-0000-0900-00000C000000}" name="2017"/>
    <tableColumn id="13" xr3:uid="{00000000-0010-0000-0900-00000D000000}" name="Columna6"/>
    <tableColumn id="14" xr3:uid="{00000000-0010-0000-0900-00000E000000}" name="2018"/>
    <tableColumn id="15" xr3:uid="{00000000-0010-0000-0900-00000F000000}" name="Columna7"/>
    <tableColumn id="16" xr3:uid="{00000000-0010-0000-0900-000010000000}" name="2019"/>
    <tableColumn id="17" xr3:uid="{00000000-0010-0000-0900-000011000000}" name="Columna8"/>
    <tableColumn id="18" xr3:uid="{00000000-0010-0000-0900-000012000000}" name="2020"/>
    <tableColumn id="19" xr3:uid="{00000000-0010-0000-0900-000013000000}" name="Columna9"/>
    <tableColumn id="20" xr3:uid="{00000000-0010-0000-0900-000014000000}" name="2021"/>
    <tableColumn id="21" xr3:uid="{00000000-0010-0000-0900-000015000000}" name="Columna10"/>
    <tableColumn id="22" xr3:uid="{00000000-0010-0000-0900-000016000000}" name="2022"/>
    <tableColumn id="23" xr3:uid="{00000000-0010-0000-0900-000017000000}" name="Columna11"/>
    <tableColumn id="24" xr3:uid="{00000000-0010-0000-0900-000018000000}" name="2023"/>
    <tableColumn id="25" xr3:uid="{00000000-0010-0000-0900-000019000000}" name="Columna1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a21" displayName="Tabla21" ref="A27:Y29" headerRowCount="0" totalsRowShown="0" headerRowDxfId="27" headerRowBorderDxfId="26" tableBorderDxfId="25">
  <tableColumns count="25">
    <tableColumn id="1" xr3:uid="{00000000-0010-0000-0A00-000001000000}" name="Columna1" headerRowDxfId="24"/>
    <tableColumn id="2" xr3:uid="{00000000-0010-0000-0A00-000002000000}" name="Columna2" headerRowDxfId="23"/>
    <tableColumn id="3" xr3:uid="{00000000-0010-0000-0A00-000003000000}" name="Columna3" headerRowDxfId="22"/>
    <tableColumn id="4" xr3:uid="{00000000-0010-0000-0A00-000004000000}" name="Columna4" headerRowDxfId="21">
      <calculatedColumnFormula>D4/D9</calculatedColumnFormula>
    </tableColumn>
    <tableColumn id="5" xr3:uid="{00000000-0010-0000-0A00-000005000000}" name="Columna5" headerRowDxfId="20"/>
    <tableColumn id="6" xr3:uid="{00000000-0010-0000-0A00-000006000000}" name="Columna6" headerRowDxfId="19">
      <calculatedColumnFormula>F4/F9</calculatedColumnFormula>
    </tableColumn>
    <tableColumn id="7" xr3:uid="{00000000-0010-0000-0A00-000007000000}" name="Columna7" headerRowDxfId="18"/>
    <tableColumn id="8" xr3:uid="{00000000-0010-0000-0A00-000008000000}" name="Columna8" headerRowDxfId="17">
      <calculatedColumnFormula>H4/H9</calculatedColumnFormula>
    </tableColumn>
    <tableColumn id="9" xr3:uid="{00000000-0010-0000-0A00-000009000000}" name="Columna9" headerRowDxfId="16"/>
    <tableColumn id="10" xr3:uid="{00000000-0010-0000-0A00-00000A000000}" name="Columna10" headerRowDxfId="15">
      <calculatedColumnFormula>J4/J9</calculatedColumnFormula>
    </tableColumn>
    <tableColumn id="11" xr3:uid="{00000000-0010-0000-0A00-00000B000000}" name="Columna11" headerRowDxfId="14"/>
    <tableColumn id="12" xr3:uid="{00000000-0010-0000-0A00-00000C000000}" name="Columna12" headerRowDxfId="13">
      <calculatedColumnFormula>L4/L9</calculatedColumnFormula>
    </tableColumn>
    <tableColumn id="13" xr3:uid="{00000000-0010-0000-0A00-00000D000000}" name="Columna13" headerRowDxfId="12"/>
    <tableColumn id="14" xr3:uid="{00000000-0010-0000-0A00-00000E000000}" name="Columna14" headerRowDxfId="11">
      <calculatedColumnFormula>N4/N9</calculatedColumnFormula>
    </tableColumn>
    <tableColumn id="15" xr3:uid="{00000000-0010-0000-0A00-00000F000000}" name="Columna15" headerRowDxfId="10"/>
    <tableColumn id="16" xr3:uid="{00000000-0010-0000-0A00-000010000000}" name="Columna16" headerRowDxfId="9">
      <calculatedColumnFormula>P4/P9</calculatedColumnFormula>
    </tableColumn>
    <tableColumn id="17" xr3:uid="{00000000-0010-0000-0A00-000011000000}" name="Columna17" headerRowDxfId="8"/>
    <tableColumn id="18" xr3:uid="{00000000-0010-0000-0A00-000012000000}" name="Columna18" headerRowDxfId="7">
      <calculatedColumnFormula>R4/R9</calculatedColumnFormula>
    </tableColumn>
    <tableColumn id="19" xr3:uid="{00000000-0010-0000-0A00-000013000000}" name="Columna19" headerRowDxfId="6"/>
    <tableColumn id="20" xr3:uid="{00000000-0010-0000-0A00-000014000000}" name="Columna20" headerRowDxfId="5">
      <calculatedColumnFormula>T4/T9</calculatedColumnFormula>
    </tableColumn>
    <tableColumn id="21" xr3:uid="{00000000-0010-0000-0A00-000015000000}" name="Columna21" headerRowDxfId="4"/>
    <tableColumn id="22" xr3:uid="{00000000-0010-0000-0A00-000016000000}" name="Columna22" headerRowDxfId="3">
      <calculatedColumnFormula>V4/V9</calculatedColumnFormula>
    </tableColumn>
    <tableColumn id="23" xr3:uid="{00000000-0010-0000-0A00-000017000000}" name="Columna23" headerRowDxfId="2"/>
    <tableColumn id="24" xr3:uid="{00000000-0010-0000-0A00-000018000000}" name="Columna24" headerRowDxfId="1">
      <calculatedColumnFormula>X4/X9</calculatedColumnFormula>
    </tableColumn>
    <tableColumn id="25" xr3:uid="{00000000-0010-0000-0A00-000019000000}" name="Columna25" headerRowDxfId="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rgdpna" displayName="rgdpna" ref="AM2:AP3" totalsRowShown="0">
  <autoFilter ref="AM2:AP3" xr:uid="{00000000-0009-0000-0100-00000C000000}">
    <filterColumn colId="0" hiddenButton="1"/>
    <filterColumn colId="1" hiddenButton="1"/>
    <filterColumn colId="2" hiddenButton="1"/>
    <filterColumn colId="3" hiddenButton="1"/>
  </autoFilter>
  <tableColumns count="4">
    <tableColumn id="1" xr3:uid="{00000000-0010-0000-0B00-000001000000}" name="rgdpna"/>
    <tableColumn id="8" xr3:uid="{00000000-0010-0000-0B00-000008000000}" name="2017" dataDxfId="140" dataCellStyle="Millares">
      <calculatedColumnFormula>#REF!/#REF!*100</calculatedColumnFormula>
    </tableColumn>
    <tableColumn id="9" xr3:uid="{00000000-0010-0000-0B00-000009000000}" name="2018" dataDxfId="139" dataCellStyle="Millares">
      <calculatedColumnFormula>#REF!/#REF!*100</calculatedColumnFormula>
    </tableColumn>
    <tableColumn id="10" xr3:uid="{00000000-0010-0000-0B00-00000A000000}" name="2019" dataDxfId="138" dataCellStyle="Millares">
      <calculatedColumnFormula>#REF!/#REF!*100</calculatedColumnFormula>
    </tableColumn>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a15710122629" displayName="Tabla15710122629" ref="AM6:AP8" totalsRowShown="0">
  <autoFilter ref="AM6:AP8" xr:uid="{00000000-0009-0000-0100-00000D000000}">
    <filterColumn colId="0" hiddenButton="1"/>
    <filterColumn colId="1" hiddenButton="1"/>
    <filterColumn colId="2" hiddenButton="1"/>
    <filterColumn colId="3" hiddenButton="1"/>
  </autoFilter>
  <tableColumns count="4">
    <tableColumn id="1" xr3:uid="{00000000-0010-0000-0C00-000001000000}" name="emp"/>
    <tableColumn id="8" xr3:uid="{00000000-0010-0000-0C00-000008000000}" name="2017" dataDxfId="137">
      <calculatedColumnFormula>#REF!/#REF!*100</calculatedColumnFormula>
    </tableColumn>
    <tableColumn id="9" xr3:uid="{00000000-0010-0000-0C00-000009000000}" name="2018" dataDxfId="136">
      <calculatedColumnFormula>#REF!/#REF!*100</calculatedColumnFormula>
    </tableColumn>
    <tableColumn id="10" xr3:uid="{00000000-0010-0000-0C00-00000A000000}" name="2019" dataDxfId="135">
      <calculatedColumnFormula>#REF!/#REF!*100</calculatedColumnFormula>
    </tableColumn>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a1571012262933" displayName="Tabla1571012262933" ref="AM10:AP12" totalsRowShown="0">
  <autoFilter ref="AM10:AP12" xr:uid="{00000000-0009-0000-0100-00000E000000}">
    <filterColumn colId="0" hiddenButton="1"/>
    <filterColumn colId="1" hiddenButton="1"/>
    <filterColumn colId="2" hiddenButton="1"/>
    <filterColumn colId="3" hiddenButton="1"/>
  </autoFilter>
  <tableColumns count="4">
    <tableColumn id="1" xr3:uid="{00000000-0010-0000-0D00-000001000000}" name="rnna"/>
    <tableColumn id="8" xr3:uid="{00000000-0010-0000-0D00-000008000000}" name="2017" dataDxfId="134" dataCellStyle="Millares">
      <calculatedColumnFormula>#REF!/#REF!*100</calculatedColumnFormula>
    </tableColumn>
    <tableColumn id="9" xr3:uid="{00000000-0010-0000-0D00-000009000000}" name="2018" dataDxfId="133" dataCellStyle="Millares">
      <calculatedColumnFormula>#REF!/#REF!*100</calculatedColumnFormula>
    </tableColumn>
    <tableColumn id="10" xr3:uid="{00000000-0010-0000-0D00-00000A000000}" name="2019" dataDxfId="132" dataCellStyle="Millares">
      <calculatedColumnFormula>#REF!/#REF!*100</calculatedColumnFormula>
    </tableColumn>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a15710122629333537" displayName="Tabla15710122629333537" ref="AM14:AP16" totalsRowShown="0">
  <autoFilter ref="AM14:AP16" xr:uid="{00000000-0009-0000-0100-00000F000000}">
    <filterColumn colId="0" hiddenButton="1"/>
    <filterColumn colId="1" hiddenButton="1"/>
    <filterColumn colId="2" hiddenButton="1"/>
    <filterColumn colId="3" hiddenButton="1"/>
  </autoFilter>
  <tableColumns count="4">
    <tableColumn id="1" xr3:uid="{00000000-0010-0000-0E00-000001000000}" name="csh_i"/>
    <tableColumn id="8" xr3:uid="{00000000-0010-0000-0E00-000008000000}" name="2017" dataDxfId="131" dataCellStyle="Millares"/>
    <tableColumn id="9" xr3:uid="{00000000-0010-0000-0E00-000009000000}" name="2018" dataDxfId="130" dataCellStyle="Millares"/>
    <tableColumn id="10" xr3:uid="{00000000-0010-0000-0E00-00000A000000}" name="2019" dataDxfId="129" dataCellStyle="Millares"/>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a15710122629333539" displayName="Tabla15710122629333539" ref="AM18:AP20" totalsRowShown="0">
  <autoFilter ref="AM18:AP20" xr:uid="{00000000-0009-0000-0100-000010000000}">
    <filterColumn colId="0" hiddenButton="1"/>
    <filterColumn colId="1" hiddenButton="1"/>
    <filterColumn colId="2" hiddenButton="1"/>
    <filterColumn colId="3" hiddenButton="1"/>
  </autoFilter>
  <tableColumns count="4">
    <tableColumn id="1" xr3:uid="{00000000-0010-0000-0F00-000001000000}" name="hc"/>
    <tableColumn id="8" xr3:uid="{00000000-0010-0000-0F00-000008000000}" name="2017" dataDxfId="128" dataCellStyle="Millares"/>
    <tableColumn id="9" xr3:uid="{00000000-0010-0000-0F00-000009000000}" name="2018" dataDxfId="127" dataCellStyle="Millares"/>
    <tableColumn id="10" xr3:uid="{00000000-0010-0000-0F00-00000A000000}" name="2019" dataDxfId="126" dataCellStyle="Millares"/>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a1571012262933353941" displayName="Tabla1571012262933353941" ref="AM22:AP24" totalsRowShown="0">
  <autoFilter ref="AM22:AP24" xr:uid="{00000000-0009-0000-0100-000011000000}">
    <filterColumn colId="0" hiddenButton="1"/>
    <filterColumn colId="1" hiddenButton="1"/>
    <filterColumn colId="2" hiddenButton="1"/>
    <filterColumn colId="3" hiddenButton="1"/>
  </autoFilter>
  <tableColumns count="4">
    <tableColumn id="1" xr3:uid="{00000000-0010-0000-1000-000001000000}" name="delta"/>
    <tableColumn id="8" xr3:uid="{00000000-0010-0000-1000-000008000000}" name="2017" dataDxfId="125" dataCellStyle="Millares"/>
    <tableColumn id="9" xr3:uid="{00000000-0010-0000-1000-000009000000}" name="2018" dataDxfId="124" dataCellStyle="Millares"/>
    <tableColumn id="10" xr3:uid="{00000000-0010-0000-1000-00000A000000}" name="2019" dataDxfId="123" dataCellStyle="Millares"/>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a157101226293335394143" displayName="Tabla157101226293335394143" ref="AM26:AP28" totalsRowShown="0">
  <autoFilter ref="AM26:AP28" xr:uid="{00000000-0009-0000-0100-000012000000}">
    <filterColumn colId="0" hiddenButton="1"/>
    <filterColumn colId="1" hiddenButton="1"/>
    <filterColumn colId="2" hiddenButton="1"/>
    <filterColumn colId="3" hiddenButton="1"/>
  </autoFilter>
  <tableColumns count="4">
    <tableColumn id="1" xr3:uid="{00000000-0010-0000-1100-000001000000}" name="Total natural resource revenues (% of GDP"/>
    <tableColumn id="8" xr3:uid="{00000000-0010-0000-1100-000008000000}" name="2017" dataDxfId="122" dataCellStyle="Millares"/>
    <tableColumn id="9" xr3:uid="{00000000-0010-0000-1100-000009000000}" name="2018" dataDxfId="121" dataCellStyle="Millares"/>
    <tableColumn id="10" xr3:uid="{00000000-0010-0000-1100-00000A000000}" name="2019" dataDxfId="120" dataCellStyle="Millares"/>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a157101226293335394145" displayName="Tabla157101226293335394145" ref="AM30:AP32" totalsRowShown="0">
  <autoFilter ref="AM30:AP32" xr:uid="{00000000-0009-0000-0100-000013000000}">
    <filterColumn colId="0" hiddenButton="1"/>
    <filterColumn colId="1" hiddenButton="1"/>
    <filterColumn colId="2" hiddenButton="1"/>
    <filterColumn colId="3" hiddenButton="1"/>
  </autoFilter>
  <tableColumns count="4">
    <tableColumn id="1" xr3:uid="{00000000-0010-0000-1200-000001000000}" name="rule of law"/>
    <tableColumn id="8" xr3:uid="{00000000-0010-0000-1200-000008000000}" name="2017" dataDxfId="119" dataCellStyle="Millares"/>
    <tableColumn id="9" xr3:uid="{00000000-0010-0000-1200-000009000000}" name="2018" dataDxfId="118" dataCellStyle="Millares"/>
    <tableColumn id="10" xr3:uid="{00000000-0010-0000-1200-00000A000000}" name="2019" dataDxfId="117" dataCellStyle="Millares"/>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a15710122629333539414547" displayName="Tabla15710122629333539414547" ref="AM34:AN36" totalsRowShown="0">
  <autoFilter ref="AM34:AN36" xr:uid="{00000000-0009-0000-0100-000014000000}">
    <filterColumn colId="0" hiddenButton="1"/>
    <filterColumn colId="1" hiddenButton="1"/>
  </autoFilter>
  <tableColumns count="2">
    <tableColumn id="1" xr3:uid="{00000000-0010-0000-1300-000001000000}" name="Corruption Index"/>
    <tableColumn id="8" xr3:uid="{00000000-0010-0000-1300-000008000000}" name="2023" dataDxfId="116" dataCellStyle="Millares"/>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a15710122629333539414549" displayName="Tabla15710122629333539414549" ref="AM38:AQ40" totalsRowShown="0">
  <autoFilter ref="AM38:AQ40" xr:uid="{00000000-0009-0000-0100-000015000000}">
    <filterColumn colId="0" hiddenButton="1"/>
    <filterColumn colId="1" hiddenButton="1"/>
    <filterColumn colId="2" hiddenButton="1"/>
    <filterColumn colId="3" hiddenButton="1"/>
    <filterColumn colId="4" hiddenButton="1"/>
  </autoFilter>
  <tableColumns count="5">
    <tableColumn id="1" xr3:uid="{00000000-0010-0000-1400-000001000000}" name="pop"/>
    <tableColumn id="8" xr3:uid="{00000000-0010-0000-1400-000008000000}" name="2016" dataDxfId="115" dataCellStyle="Millares"/>
    <tableColumn id="2" xr3:uid="{00000000-0010-0000-1400-000002000000}" name="2017" dataDxfId="114"/>
    <tableColumn id="3" xr3:uid="{00000000-0010-0000-1400-000003000000}" name="2018" dataDxfId="113"/>
    <tableColumn id="4" xr3:uid="{00000000-0010-0000-1400-000004000000}" name="2019" dataDxfId="112"/>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a1" displayName="Tabla1" ref="A2:M4" totalsRowShown="0">
  <autoFilter ref="A2:M4" xr:uid="{00000000-0009-0000-0100-00001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500-000001000000}" name="Nominal GDP, million euros"/>
    <tableColumn id="3" xr3:uid="{00000000-0010-0000-1500-000003000000}" name="2012" dataDxfId="111"/>
    <tableColumn id="4" xr3:uid="{00000000-0010-0000-1500-000004000000}" name="2013" dataDxfId="110"/>
    <tableColumn id="5" xr3:uid="{00000000-0010-0000-1500-000005000000}" name="2014" dataDxfId="109"/>
    <tableColumn id="6" xr3:uid="{00000000-0010-0000-1500-000006000000}" name="2015" dataDxfId="108"/>
    <tableColumn id="7" xr3:uid="{00000000-0010-0000-1500-000007000000}" name="2016" dataDxfId="107"/>
    <tableColumn id="8" xr3:uid="{00000000-0010-0000-1500-000008000000}" name="2017" dataDxfId="106"/>
    <tableColumn id="9" xr3:uid="{00000000-0010-0000-1500-000009000000}" name="2018" dataDxfId="105"/>
    <tableColumn id="10" xr3:uid="{00000000-0010-0000-1500-00000A000000}" name="2019" dataDxfId="104"/>
    <tableColumn id="11" xr3:uid="{00000000-0010-0000-1500-00000B000000}" name="2020" dataDxfId="103"/>
    <tableColumn id="12" xr3:uid="{00000000-0010-0000-1500-00000C000000}" name="2021" dataDxfId="102"/>
    <tableColumn id="13" xr3:uid="{00000000-0010-0000-1500-00000D000000}" name="2022" dataDxfId="101"/>
    <tableColumn id="14" xr3:uid="{00000000-0010-0000-1500-00000E000000}" name="2023" dataDxfId="100"/>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a15" displayName="Tabla15" ref="A6:M8" totalsRowShown="0">
  <autoFilter ref="A6:M8" xr:uid="{00000000-0009-0000-0100-00001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600-000001000000}" name="GDP Deflactor"/>
    <tableColumn id="3" xr3:uid="{00000000-0010-0000-1600-000003000000}" name="2012" dataDxfId="99"/>
    <tableColumn id="4" xr3:uid="{00000000-0010-0000-1600-000004000000}" name="2013" dataDxfId="98"/>
    <tableColumn id="5" xr3:uid="{00000000-0010-0000-1600-000005000000}" name="2014" dataDxfId="97"/>
    <tableColumn id="6" xr3:uid="{00000000-0010-0000-1600-000006000000}" name="2015" dataDxfId="96"/>
    <tableColumn id="7" xr3:uid="{00000000-0010-0000-1600-000007000000}" name="2016" dataDxfId="95"/>
    <tableColumn id="8" xr3:uid="{00000000-0010-0000-1600-000008000000}" name="2017" dataDxfId="94"/>
    <tableColumn id="9" xr3:uid="{00000000-0010-0000-1600-000009000000}" name="2018" dataDxfId="93"/>
    <tableColumn id="10" xr3:uid="{00000000-0010-0000-1600-00000A000000}" name="2019" dataDxfId="92"/>
    <tableColumn id="11" xr3:uid="{00000000-0010-0000-1600-00000B000000}" name="2020" dataDxfId="91"/>
    <tableColumn id="12" xr3:uid="{00000000-0010-0000-1600-00000C000000}" name="2021" dataDxfId="90"/>
    <tableColumn id="13" xr3:uid="{00000000-0010-0000-1600-00000D000000}" name="2022" dataDxfId="89"/>
    <tableColumn id="14" xr3:uid="{00000000-0010-0000-1600-00000E000000}" name="2023" dataDxfId="88"/>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a157" displayName="Tabla157" ref="A10:M12" totalsRowShown="0">
  <autoFilter ref="A10:M12" xr:uid="{00000000-0009-0000-0100-00001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700-000001000000}" name="Consumer Price Index"/>
    <tableColumn id="3" xr3:uid="{00000000-0010-0000-1700-000003000000}" name="2012" dataDxfId="87"/>
    <tableColumn id="4" xr3:uid="{00000000-0010-0000-1700-000004000000}" name="2013" dataDxfId="86"/>
    <tableColumn id="5" xr3:uid="{00000000-0010-0000-1700-000005000000}" name="2014" dataDxfId="85"/>
    <tableColumn id="6" xr3:uid="{00000000-0010-0000-1700-000006000000}" name="2015" dataDxfId="84"/>
    <tableColumn id="7" xr3:uid="{00000000-0010-0000-1700-000007000000}" name="2016" dataDxfId="83"/>
    <tableColumn id="8" xr3:uid="{00000000-0010-0000-1700-000008000000}" name="2017" dataDxfId="82"/>
    <tableColumn id="9" xr3:uid="{00000000-0010-0000-1700-000009000000}" name="2018" dataDxfId="81"/>
    <tableColumn id="10" xr3:uid="{00000000-0010-0000-1700-00000A000000}" name="2019" dataDxfId="80"/>
    <tableColumn id="11" xr3:uid="{00000000-0010-0000-1700-00000B000000}" name="2020" dataDxfId="79"/>
    <tableColumn id="12" xr3:uid="{00000000-0010-0000-1700-00000C000000}" name="2021" dataDxfId="78"/>
    <tableColumn id="13" xr3:uid="{00000000-0010-0000-1700-00000D000000}" name="2022" dataDxfId="77"/>
    <tableColumn id="14" xr3:uid="{00000000-0010-0000-1700-00000E000000}" name="2023" dataDxfId="76"/>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a15710" displayName="Tabla15710" ref="A14:N17" totalsRowShown="0">
  <autoFilter ref="A14:N17" xr:uid="{00000000-0009-0000-0100-00001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1800-000001000000}" name="Unemployment, as a percentage of the population in the labor force"/>
    <tableColumn id="3" xr3:uid="{00000000-0010-0000-1800-000003000000}" name="2012" dataDxfId="75"/>
    <tableColumn id="4" xr3:uid="{00000000-0010-0000-1800-000004000000}" name="2013" dataDxfId="74"/>
    <tableColumn id="5" xr3:uid="{00000000-0010-0000-1800-000005000000}" name="2014" dataDxfId="73"/>
    <tableColumn id="6" xr3:uid="{00000000-0010-0000-1800-000006000000}" name="2015" dataDxfId="72"/>
    <tableColumn id="7" xr3:uid="{00000000-0010-0000-1800-000007000000}" name="2016" dataDxfId="71"/>
    <tableColumn id="8" xr3:uid="{00000000-0010-0000-1800-000008000000}" name="2017" dataDxfId="70"/>
    <tableColumn id="9" xr3:uid="{00000000-0010-0000-1800-000009000000}" name="2018" dataDxfId="69"/>
    <tableColumn id="10" xr3:uid="{00000000-0010-0000-1800-00000A000000}" name="2019" dataDxfId="68"/>
    <tableColumn id="11" xr3:uid="{00000000-0010-0000-1800-00000B000000}" name="2020" dataDxfId="67"/>
    <tableColumn id="12" xr3:uid="{00000000-0010-0000-1800-00000C000000}" name="2021" dataDxfId="66"/>
    <tableColumn id="13" xr3:uid="{00000000-0010-0000-1800-00000D000000}" name="2022" dataDxfId="65"/>
    <tableColumn id="14" xr3:uid="{00000000-0010-0000-1800-00000E000000}" name="2023" dataDxfId="64"/>
    <tableColumn id="2" xr3:uid="{00000000-0010-0000-1800-000002000000}" name="Average" dataDxfId="63">
      <calculatedColumnFormula>AVERAGE(C15:M15)</calculatedColumnFormula>
    </tableColumn>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a1571012" displayName="Tabla1571012" ref="A18:M20" totalsRowShown="0">
  <autoFilter ref="A18:M20" xr:uid="{00000000-0009-0000-0100-00001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900-000001000000}" name="Real GDP, (at 2015 prices)"/>
    <tableColumn id="3" xr3:uid="{00000000-0010-0000-1900-000003000000}" name="2012" dataDxfId="62" dataCellStyle="Millares">
      <calculatedColumnFormula>B3/B7*100</calculatedColumnFormula>
    </tableColumn>
    <tableColumn id="4" xr3:uid="{00000000-0010-0000-1900-000004000000}" name="2013" dataDxfId="61" dataCellStyle="Millares">
      <calculatedColumnFormula>C3/C7*100</calculatedColumnFormula>
    </tableColumn>
    <tableColumn id="5" xr3:uid="{00000000-0010-0000-1900-000005000000}" name="2014" dataDxfId="60" dataCellStyle="Millares">
      <calculatedColumnFormula>D3/D7*100</calculatedColumnFormula>
    </tableColumn>
    <tableColumn id="6" xr3:uid="{00000000-0010-0000-1900-000006000000}" name="2015" dataDxfId="59" dataCellStyle="Millares">
      <calculatedColumnFormula>E3/E7*100</calculatedColumnFormula>
    </tableColumn>
    <tableColumn id="7" xr3:uid="{00000000-0010-0000-1900-000007000000}" name="2016" dataDxfId="58" dataCellStyle="Millares">
      <calculatedColumnFormula>F3/F7*100</calculatedColumnFormula>
    </tableColumn>
    <tableColumn id="8" xr3:uid="{00000000-0010-0000-1900-000008000000}" name="2017" dataDxfId="57" dataCellStyle="Millares">
      <calculatedColumnFormula>G3/G7*100</calculatedColumnFormula>
    </tableColumn>
    <tableColumn id="9" xr3:uid="{00000000-0010-0000-1900-000009000000}" name="2018" dataDxfId="56" dataCellStyle="Millares">
      <calculatedColumnFormula>H3/H7*100</calculatedColumnFormula>
    </tableColumn>
    <tableColumn id="10" xr3:uid="{00000000-0010-0000-1900-00000A000000}" name="2019" dataDxfId="55" dataCellStyle="Millares">
      <calculatedColumnFormula>I3/I7*100</calculatedColumnFormula>
    </tableColumn>
    <tableColumn id="11" xr3:uid="{00000000-0010-0000-1900-00000B000000}" name="2020" dataDxfId="54" dataCellStyle="Millares">
      <calculatedColumnFormula>J3/J7*100</calculatedColumnFormula>
    </tableColumn>
    <tableColumn id="12" xr3:uid="{00000000-0010-0000-1900-00000C000000}" name="2021" dataDxfId="53" dataCellStyle="Millares">
      <calculatedColumnFormula>K3/K7*100</calculatedColumnFormula>
    </tableColumn>
    <tableColumn id="13" xr3:uid="{00000000-0010-0000-1900-00000D000000}" name="2022" dataDxfId="52" dataCellStyle="Millares">
      <calculatedColumnFormula>L3/L7*100</calculatedColumnFormula>
    </tableColumn>
    <tableColumn id="14" xr3:uid="{00000000-0010-0000-1900-00000E000000}" name="2023" dataDxfId="51" dataCellStyle="Millares">
      <calculatedColumnFormula>M3/M7*100</calculatedColumnFormula>
    </tableColumn>
  </tableColumns>
  <tableStyleInfo name="TableStyleLight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a157101216" displayName="Tabla157101216" ref="A22:N25" totalsRowShown="0">
  <autoFilter ref="A22:N25" xr:uid="{00000000-0009-0000-0100-00001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1A00-000001000000}" name="Annual rate of change of real GDP, %"/>
    <tableColumn id="3" xr3:uid="{00000000-0010-0000-1A00-000003000000}" name="2012" dataDxfId="50" dataCellStyle="Millares">
      <calculatedColumnFormula>B7/B11*100</calculatedColumnFormula>
    </tableColumn>
    <tableColumn id="4" xr3:uid="{00000000-0010-0000-1A00-000004000000}" name="2013" dataDxfId="49" dataCellStyle="Millares">
      <calculatedColumnFormula>(C19-B19)/B19*100</calculatedColumnFormula>
    </tableColumn>
    <tableColumn id="5" xr3:uid="{00000000-0010-0000-1A00-000005000000}" name="2014" dataDxfId="48" dataCellStyle="Millares">
      <calculatedColumnFormula>C19-D19/D19*100</calculatedColumnFormula>
    </tableColumn>
    <tableColumn id="6" xr3:uid="{00000000-0010-0000-1A00-000006000000}" name="2015" dataCellStyle="Millares">
      <calculatedColumnFormula>E7/E11*100</calculatedColumnFormula>
    </tableColumn>
    <tableColumn id="7" xr3:uid="{00000000-0010-0000-1A00-000007000000}" name="2016" dataCellStyle="Millares">
      <calculatedColumnFormula>F7/F11*100</calculatedColumnFormula>
    </tableColumn>
    <tableColumn id="8" xr3:uid="{00000000-0010-0000-1A00-000008000000}" name="2017" dataCellStyle="Millares">
      <calculatedColumnFormula>G7/G11*100</calculatedColumnFormula>
    </tableColumn>
    <tableColumn id="9" xr3:uid="{00000000-0010-0000-1A00-000009000000}" name="2018" dataCellStyle="Millares">
      <calculatedColumnFormula>H7/H11*100</calculatedColumnFormula>
    </tableColumn>
    <tableColumn id="10" xr3:uid="{00000000-0010-0000-1A00-00000A000000}" name="2019" dataCellStyle="Millares">
      <calculatedColumnFormula>I7/I11*100</calculatedColumnFormula>
    </tableColumn>
    <tableColumn id="11" xr3:uid="{00000000-0010-0000-1A00-00000B000000}" name="2020" dataCellStyle="Millares">
      <calculatedColumnFormula>J7/J11*100</calculatedColumnFormula>
    </tableColumn>
    <tableColumn id="12" xr3:uid="{00000000-0010-0000-1A00-00000C000000}" name="2021" dataCellStyle="Millares">
      <calculatedColumnFormula>K7/K11*100</calculatedColumnFormula>
    </tableColumn>
    <tableColumn id="13" xr3:uid="{00000000-0010-0000-1A00-00000D000000}" name="2022" dataCellStyle="Millares">
      <calculatedColumnFormula>L7/L11*100</calculatedColumnFormula>
    </tableColumn>
    <tableColumn id="14" xr3:uid="{00000000-0010-0000-1A00-00000E000000}" name="2023" dataCellStyle="Millares">
      <calculatedColumnFormula>(M19/L19-1)*100</calculatedColumnFormula>
    </tableColumn>
    <tableColumn id="2" xr3:uid="{00000000-0010-0000-1A00-000002000000}" name="Average" dataDxfId="47" dataCellStyle="Millares">
      <calculatedColumnFormula>AVERAGE(C23:M23)</calculatedColumnFormula>
    </tableColumn>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a15710121624" displayName="Tabla15710121624" ref="A26:N28" totalsRowShown="0">
  <autoFilter ref="A26:N28" xr:uid="{00000000-0009-0000-0100-00001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1B00-000001000000}" name="Annual inflation rate, CPI"/>
    <tableColumn id="3" xr3:uid="{00000000-0010-0000-1B00-000003000000}" name="2012" dataDxfId="46" dataCellStyle="Millares">
      <calculatedColumnFormula>B11/B15*100</calculatedColumnFormula>
    </tableColumn>
    <tableColumn id="4" xr3:uid="{00000000-0010-0000-1B00-000004000000}" name="2013" dataDxfId="45" dataCellStyle="Millares">
      <calculatedColumnFormula>((C11-B11)/B11)*100</calculatedColumnFormula>
    </tableColumn>
    <tableColumn id="5" xr3:uid="{00000000-0010-0000-1B00-000005000000}" name="2014" dataDxfId="44" dataCellStyle="Millares">
      <calculatedColumnFormula>(D11-C11)/C11*100</calculatedColumnFormula>
    </tableColumn>
    <tableColumn id="6" xr3:uid="{00000000-0010-0000-1B00-000006000000}" name="2015" dataCellStyle="Millares">
      <calculatedColumnFormula>(E23/D23-1)*100</calculatedColumnFormula>
    </tableColumn>
    <tableColumn id="7" xr3:uid="{00000000-0010-0000-1B00-000007000000}" name="2016" dataCellStyle="Millares">
      <calculatedColumnFormula>(F23/E23-1)*100</calculatedColumnFormula>
    </tableColumn>
    <tableColumn id="8" xr3:uid="{00000000-0010-0000-1B00-000008000000}" name="2017" dataCellStyle="Millares">
      <calculatedColumnFormula>(G23/F23-1)*100</calculatedColumnFormula>
    </tableColumn>
    <tableColumn id="9" xr3:uid="{00000000-0010-0000-1B00-000009000000}" name="2018" dataCellStyle="Millares">
      <calculatedColumnFormula>(H23/G23-1)*100</calculatedColumnFormula>
    </tableColumn>
    <tableColumn id="10" xr3:uid="{00000000-0010-0000-1B00-00000A000000}" name="2019" dataCellStyle="Millares">
      <calculatedColumnFormula>(I23/H23-1)*100</calculatedColumnFormula>
    </tableColumn>
    <tableColumn id="11" xr3:uid="{00000000-0010-0000-1B00-00000B000000}" name="2020" dataCellStyle="Millares">
      <calculatedColumnFormula>(J23/I23-1)*100</calculatedColumnFormula>
    </tableColumn>
    <tableColumn id="12" xr3:uid="{00000000-0010-0000-1B00-00000C000000}" name="2021" dataCellStyle="Millares">
      <calculatedColumnFormula>(K23/J23-1)*100</calculatedColumnFormula>
    </tableColumn>
    <tableColumn id="13" xr3:uid="{00000000-0010-0000-1B00-00000D000000}" name="2022" dataCellStyle="Millares">
      <calculatedColumnFormula>(L23/K23-1)*100</calculatedColumnFormula>
    </tableColumn>
    <tableColumn id="14" xr3:uid="{00000000-0010-0000-1B00-00000E000000}" name="2023" dataCellStyle="Millares">
      <calculatedColumnFormula>(M23/L23-1)*100</calculatedColumnFormula>
    </tableColumn>
    <tableColumn id="2" xr3:uid="{00000000-0010-0000-1B00-000002000000}" name="Average" dataDxfId="43" dataCellStyle="Millares">
      <calculatedColumnFormula>AVERAGE(C27:M27)</calculatedColumnFormula>
    </tableColumn>
  </tableColumns>
  <tableStyleInfo name="TableStyleLight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a1571012162427" displayName="Tabla1571012162427" ref="A30:M32" totalsRowShown="0">
  <autoFilter ref="A30:M32" xr:uid="{00000000-0009-0000-0100-00001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C00-000001000000}" name="Annual inflation rate, GDP Deflactor"/>
    <tableColumn id="3" xr3:uid="{00000000-0010-0000-1C00-000003000000}" name="2012" dataDxfId="42" dataCellStyle="Millares">
      <calculatedColumnFormula>B15/B19*100</calculatedColumnFormula>
    </tableColumn>
    <tableColumn id="4" xr3:uid="{00000000-0010-0000-1C00-000004000000}" name="2013" dataDxfId="41" dataCellStyle="Millares">
      <calculatedColumnFormula>((C7-B7)/B7)*100</calculatedColumnFormula>
    </tableColumn>
    <tableColumn id="5" xr3:uid="{00000000-0010-0000-1C00-000005000000}" name="2014" dataDxfId="40" dataCellStyle="Millares">
      <calculatedColumnFormula>(D15-C15)/C15*100</calculatedColumnFormula>
    </tableColumn>
    <tableColumn id="6" xr3:uid="{00000000-0010-0000-1C00-000006000000}" name="2015" dataCellStyle="Millares">
      <calculatedColumnFormula>(E15-D15)/D15*100</calculatedColumnFormula>
    </tableColumn>
    <tableColumn id="7" xr3:uid="{00000000-0010-0000-1C00-000007000000}" name="2016" dataCellStyle="Millares">
      <calculatedColumnFormula>(F15-E15)/E15*100</calculatedColumnFormula>
    </tableColumn>
    <tableColumn id="8" xr3:uid="{00000000-0010-0000-1C00-000008000000}" name="2017" dataCellStyle="Millares">
      <calculatedColumnFormula>(G15-F15)/F15*100</calculatedColumnFormula>
    </tableColumn>
    <tableColumn id="9" xr3:uid="{00000000-0010-0000-1C00-000009000000}" name="2018" dataCellStyle="Millares">
      <calculatedColumnFormula>(H15-G15)/G15*100</calculatedColumnFormula>
    </tableColumn>
    <tableColumn id="10" xr3:uid="{00000000-0010-0000-1C00-00000A000000}" name="2019" dataCellStyle="Millares">
      <calculatedColumnFormula>(I15-H15)/H15*100</calculatedColumnFormula>
    </tableColumn>
    <tableColumn id="11" xr3:uid="{00000000-0010-0000-1C00-00000B000000}" name="2020" dataCellStyle="Millares">
      <calculatedColumnFormula>(J15-I15)/I15*100</calculatedColumnFormula>
    </tableColumn>
    <tableColumn id="12" xr3:uid="{00000000-0010-0000-1C00-00000C000000}" name="2021" dataCellStyle="Millares">
      <calculatedColumnFormula>(K15-J15)/J15*100</calculatedColumnFormula>
    </tableColumn>
    <tableColumn id="13" xr3:uid="{00000000-0010-0000-1C00-00000D000000}" name="2022" dataCellStyle="Millares">
      <calculatedColumnFormula>(L15-K15)/K15*100</calculatedColumnFormula>
    </tableColumn>
    <tableColumn id="14" xr3:uid="{00000000-0010-0000-1C00-00000E000000}" name="2023" dataCellStyle="Millares">
      <calculatedColumnFormula>(M15-L15)/L15*100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3.xml"/><Relationship Id="rId13" Type="http://schemas.openxmlformats.org/officeDocument/2006/relationships/table" Target="../tables/table18.xml"/><Relationship Id="rId18" Type="http://schemas.openxmlformats.org/officeDocument/2006/relationships/table" Target="../tables/table23.xml"/><Relationship Id="rId3" Type="http://schemas.openxmlformats.org/officeDocument/2006/relationships/table" Target="../tables/table8.xml"/><Relationship Id="rId7" Type="http://schemas.openxmlformats.org/officeDocument/2006/relationships/table" Target="../tables/table12.xml"/><Relationship Id="rId12" Type="http://schemas.openxmlformats.org/officeDocument/2006/relationships/table" Target="../tables/table17.xml"/><Relationship Id="rId17" Type="http://schemas.openxmlformats.org/officeDocument/2006/relationships/table" Target="../tables/table22.xml"/><Relationship Id="rId2" Type="http://schemas.openxmlformats.org/officeDocument/2006/relationships/table" Target="../tables/table7.xml"/><Relationship Id="rId16" Type="http://schemas.openxmlformats.org/officeDocument/2006/relationships/table" Target="../tables/table21.xml"/><Relationship Id="rId1" Type="http://schemas.openxmlformats.org/officeDocument/2006/relationships/drawing" Target="../drawings/drawing2.xml"/><Relationship Id="rId6" Type="http://schemas.openxmlformats.org/officeDocument/2006/relationships/table" Target="../tables/table11.xml"/><Relationship Id="rId11" Type="http://schemas.openxmlformats.org/officeDocument/2006/relationships/table" Target="../tables/table16.xml"/><Relationship Id="rId5" Type="http://schemas.openxmlformats.org/officeDocument/2006/relationships/table" Target="../tables/table10.xml"/><Relationship Id="rId15" Type="http://schemas.openxmlformats.org/officeDocument/2006/relationships/table" Target="../tables/table20.xml"/><Relationship Id="rId10" Type="http://schemas.openxmlformats.org/officeDocument/2006/relationships/table" Target="../tables/table15.xml"/><Relationship Id="rId19" Type="http://schemas.openxmlformats.org/officeDocument/2006/relationships/table" Target="../tables/table24.xml"/><Relationship Id="rId4" Type="http://schemas.openxmlformats.org/officeDocument/2006/relationships/table" Target="../tables/table9.xml"/><Relationship Id="rId9" Type="http://schemas.openxmlformats.org/officeDocument/2006/relationships/table" Target="../tables/table14.xml"/><Relationship Id="rId14"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
  <sheetViews>
    <sheetView zoomScale="82" zoomScaleNormal="82" workbookViewId="0">
      <selection sqref="A1:M3"/>
    </sheetView>
  </sheetViews>
  <sheetFormatPr baseColWidth="10" defaultColWidth="11.5" defaultRowHeight="15"/>
  <cols>
    <col min="1" max="1" width="10.33203125" bestFit="1" customWidth="1"/>
    <col min="2" max="13" width="9" bestFit="1" customWidth="1"/>
  </cols>
  <sheetData>
    <row r="1" spans="1:13">
      <c r="A1" t="s">
        <v>81</v>
      </c>
      <c r="B1" t="s">
        <v>5</v>
      </c>
      <c r="C1" t="s">
        <v>6</v>
      </c>
      <c r="D1" t="s">
        <v>7</v>
      </c>
      <c r="E1" t="s">
        <v>8</v>
      </c>
      <c r="F1" t="s">
        <v>9</v>
      </c>
      <c r="G1" t="s">
        <v>10</v>
      </c>
      <c r="H1" t="s">
        <v>11</v>
      </c>
      <c r="I1" t="s">
        <v>12</v>
      </c>
      <c r="J1" t="s">
        <v>13</v>
      </c>
      <c r="K1" t="s">
        <v>14</v>
      </c>
      <c r="L1" t="s">
        <v>15</v>
      </c>
      <c r="M1" t="s">
        <v>16</v>
      </c>
    </row>
    <row r="2" spans="1:13">
      <c r="A2" t="s">
        <v>20</v>
      </c>
      <c r="B2">
        <v>21270.9</v>
      </c>
      <c r="C2">
        <v>21997</v>
      </c>
      <c r="D2">
        <v>22790.5</v>
      </c>
      <c r="E2">
        <v>23744.3</v>
      </c>
      <c r="F2">
        <v>24498.2</v>
      </c>
      <c r="G2">
        <v>26017.1</v>
      </c>
      <c r="H2">
        <v>28153.4</v>
      </c>
      <c r="I2">
        <v>29567</v>
      </c>
      <c r="J2">
        <v>29224.3</v>
      </c>
      <c r="K2">
        <v>32283.8</v>
      </c>
      <c r="L2">
        <v>36088.699999999997</v>
      </c>
      <c r="M2">
        <v>39564.199999999997</v>
      </c>
    </row>
    <row r="3" spans="1:13">
      <c r="A3" t="s">
        <v>23</v>
      </c>
      <c r="B3">
        <v>534012.80000000005</v>
      </c>
      <c r="C3">
        <v>531729.1</v>
      </c>
      <c r="D3">
        <v>548014.5</v>
      </c>
      <c r="E3">
        <v>625532.69999999995</v>
      </c>
      <c r="F3">
        <v>621765.1</v>
      </c>
      <c r="G3">
        <v>615776.30000000005</v>
      </c>
      <c r="H3">
        <v>614304.4</v>
      </c>
      <c r="I3">
        <v>644443.19999999995</v>
      </c>
      <c r="J3">
        <v>650742.6</v>
      </c>
      <c r="K3">
        <v>689174.9</v>
      </c>
      <c r="L3">
        <v>787386.5</v>
      </c>
      <c r="M3">
        <v>826951.8</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
  <sheetViews>
    <sheetView zoomScale="91" workbookViewId="0">
      <selection sqref="A1:M3"/>
    </sheetView>
  </sheetViews>
  <sheetFormatPr baseColWidth="10" defaultColWidth="11.5" defaultRowHeight="15"/>
  <cols>
    <col min="1" max="1" width="10.33203125" bestFit="1" customWidth="1"/>
    <col min="2" max="5" width="7.33203125" bestFit="1" customWidth="1"/>
    <col min="6" max="13" width="8" bestFit="1" customWidth="1"/>
  </cols>
  <sheetData>
    <row r="1" spans="1:13">
      <c r="A1" t="s">
        <v>81</v>
      </c>
      <c r="B1" t="s">
        <v>5</v>
      </c>
      <c r="C1" t="s">
        <v>6</v>
      </c>
      <c r="D1" t="s">
        <v>7</v>
      </c>
      <c r="E1" t="s">
        <v>8</v>
      </c>
      <c r="F1" t="s">
        <v>9</v>
      </c>
      <c r="G1" t="s">
        <v>10</v>
      </c>
      <c r="H1" t="s">
        <v>11</v>
      </c>
      <c r="I1" t="s">
        <v>12</v>
      </c>
      <c r="J1" t="s">
        <v>13</v>
      </c>
      <c r="K1" t="s">
        <v>14</v>
      </c>
      <c r="L1" t="s">
        <v>15</v>
      </c>
      <c r="M1" t="s">
        <v>16</v>
      </c>
    </row>
    <row r="2" spans="1:13">
      <c r="A2" t="s">
        <v>20</v>
      </c>
      <c r="B2">
        <v>96.91</v>
      </c>
      <c r="C2">
        <v>98.161000000000001</v>
      </c>
      <c r="D2">
        <v>99.614999999999995</v>
      </c>
      <c r="E2">
        <v>100</v>
      </c>
      <c r="F2">
        <v>100.608</v>
      </c>
      <c r="G2">
        <v>103.334</v>
      </c>
      <c r="H2">
        <v>107.199</v>
      </c>
      <c r="I2">
        <v>111.82599999999999</v>
      </c>
      <c r="J2">
        <v>114.502</v>
      </c>
      <c r="K2">
        <v>118.27800000000001</v>
      </c>
      <c r="L2">
        <v>129.74199999999999</v>
      </c>
      <c r="M2">
        <v>143.58799999999999</v>
      </c>
    </row>
    <row r="3" spans="1:13">
      <c r="A3" t="s">
        <v>23</v>
      </c>
      <c r="B3">
        <v>90.403999999999996</v>
      </c>
      <c r="C3">
        <v>88.433000000000007</v>
      </c>
      <c r="D3">
        <v>89.048000000000002</v>
      </c>
      <c r="E3">
        <v>100</v>
      </c>
      <c r="F3">
        <v>97.382999999999996</v>
      </c>
      <c r="G3">
        <v>95.147999999999996</v>
      </c>
      <c r="H3">
        <v>92.281000000000006</v>
      </c>
      <c r="I3">
        <v>95.715999999999994</v>
      </c>
      <c r="J3">
        <v>98.766999999999996</v>
      </c>
      <c r="K3">
        <v>99.090999999999994</v>
      </c>
      <c r="L3">
        <v>109.867</v>
      </c>
      <c r="M3">
        <v>114.605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
  <sheetViews>
    <sheetView workbookViewId="0">
      <selection sqref="A1:M3"/>
    </sheetView>
  </sheetViews>
  <sheetFormatPr baseColWidth="10" defaultColWidth="11.5" defaultRowHeight="15"/>
  <cols>
    <col min="1" max="1" width="10.33203125" bestFit="1" customWidth="1"/>
    <col min="2" max="13" width="7.33203125" bestFit="1" customWidth="1"/>
  </cols>
  <sheetData>
    <row r="1" spans="1:13">
      <c r="A1" t="s">
        <v>81</v>
      </c>
      <c r="B1" t="s">
        <v>5</v>
      </c>
      <c r="C1" t="s">
        <v>6</v>
      </c>
      <c r="D1" t="s">
        <v>7</v>
      </c>
      <c r="E1" t="s">
        <v>8</v>
      </c>
      <c r="F1" t="s">
        <v>9</v>
      </c>
      <c r="G1" t="s">
        <v>10</v>
      </c>
      <c r="H1" t="s">
        <v>11</v>
      </c>
      <c r="I1" t="s">
        <v>12</v>
      </c>
      <c r="J1" t="s">
        <v>13</v>
      </c>
      <c r="K1" t="s">
        <v>14</v>
      </c>
      <c r="L1" t="s">
        <v>15</v>
      </c>
      <c r="M1" t="s">
        <v>16</v>
      </c>
    </row>
    <row r="2" spans="1:13">
      <c r="A2" t="s">
        <v>20</v>
      </c>
      <c r="B2">
        <v>99.09</v>
      </c>
      <c r="C2">
        <v>99.11</v>
      </c>
      <c r="D2">
        <v>99.79</v>
      </c>
      <c r="E2">
        <v>100</v>
      </c>
      <c r="F2">
        <v>100.1</v>
      </c>
      <c r="G2">
        <v>103</v>
      </c>
      <c r="H2">
        <v>105.63</v>
      </c>
      <c r="I2">
        <v>108.53</v>
      </c>
      <c r="J2">
        <v>108.62</v>
      </c>
      <c r="K2">
        <v>112.14</v>
      </c>
      <c r="L2">
        <v>131.47</v>
      </c>
      <c r="M2">
        <v>143.38</v>
      </c>
    </row>
    <row r="3" spans="1:13">
      <c r="A3" t="s">
        <v>23</v>
      </c>
      <c r="B3">
        <v>100.76</v>
      </c>
      <c r="C3">
        <v>100.83</v>
      </c>
      <c r="D3">
        <v>100.84</v>
      </c>
      <c r="E3">
        <v>100</v>
      </c>
      <c r="F3">
        <v>99.47</v>
      </c>
      <c r="G3">
        <v>100.11</v>
      </c>
      <c r="H3">
        <v>101.03</v>
      </c>
      <c r="I3">
        <v>101.41</v>
      </c>
      <c r="J3">
        <v>100.56</v>
      </c>
      <c r="K3">
        <v>101.04</v>
      </c>
      <c r="L3">
        <v>103.74</v>
      </c>
      <c r="M3">
        <v>106.1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
  <sheetViews>
    <sheetView workbookViewId="0">
      <selection sqref="A1:N3"/>
    </sheetView>
  </sheetViews>
  <sheetFormatPr baseColWidth="10" defaultColWidth="11.5" defaultRowHeight="15"/>
  <cols>
    <col min="1" max="1" width="10.33203125" bestFit="1" customWidth="1"/>
    <col min="2" max="5" width="7.33203125" bestFit="1" customWidth="1"/>
    <col min="6" max="6" width="11.6640625" bestFit="1" customWidth="1"/>
    <col min="7" max="14" width="7.33203125" bestFit="1" customWidth="1"/>
  </cols>
  <sheetData>
    <row r="1" spans="1:14">
      <c r="A1" t="s">
        <v>81</v>
      </c>
      <c r="B1" t="s">
        <v>5</v>
      </c>
      <c r="C1" t="s">
        <v>6</v>
      </c>
      <c r="D1" t="s">
        <v>7</v>
      </c>
      <c r="E1" t="s">
        <v>8</v>
      </c>
      <c r="F1" t="s">
        <v>82</v>
      </c>
      <c r="G1" t="s">
        <v>9</v>
      </c>
      <c r="H1" t="s">
        <v>10</v>
      </c>
      <c r="I1" t="s">
        <v>11</v>
      </c>
      <c r="J1" t="s">
        <v>12</v>
      </c>
      <c r="K1" t="s">
        <v>13</v>
      </c>
      <c r="L1" t="s">
        <v>14</v>
      </c>
      <c r="M1" t="s">
        <v>15</v>
      </c>
      <c r="N1" t="s">
        <v>16</v>
      </c>
    </row>
    <row r="2" spans="1:14">
      <c r="A2" t="s">
        <v>20</v>
      </c>
      <c r="B2">
        <v>15.1</v>
      </c>
      <c r="C2">
        <v>11.9</v>
      </c>
      <c r="D2">
        <v>10.9</v>
      </c>
      <c r="E2">
        <v>9.9</v>
      </c>
      <c r="F2" t="s">
        <v>83</v>
      </c>
      <c r="G2">
        <v>9.6999999999999993</v>
      </c>
      <c r="H2">
        <v>8.6999999999999993</v>
      </c>
      <c r="I2">
        <v>7.4</v>
      </c>
      <c r="J2">
        <v>6.3</v>
      </c>
      <c r="K2">
        <v>8.1</v>
      </c>
      <c r="L2">
        <v>7.6</v>
      </c>
      <c r="M2">
        <v>6.9</v>
      </c>
      <c r="N2">
        <v>6.5</v>
      </c>
    </row>
    <row r="3" spans="1:14">
      <c r="A3" t="s">
        <v>23</v>
      </c>
      <c r="B3">
        <v>4.5</v>
      </c>
      <c r="C3">
        <v>4.8</v>
      </c>
      <c r="D3">
        <v>4.9000000000000004</v>
      </c>
      <c r="E3">
        <v>4.8</v>
      </c>
      <c r="G3">
        <v>5</v>
      </c>
      <c r="H3">
        <v>4.8</v>
      </c>
      <c r="I3">
        <v>4.7</v>
      </c>
      <c r="J3">
        <v>4.4000000000000004</v>
      </c>
      <c r="K3">
        <v>4.8</v>
      </c>
      <c r="L3">
        <v>5.0999999999999996</v>
      </c>
      <c r="M3">
        <v>4.0999999999999996</v>
      </c>
      <c r="N3">
        <v>4.0999999999999996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
  <sheetViews>
    <sheetView workbookViewId="0">
      <selection sqref="A1:M3"/>
    </sheetView>
  </sheetViews>
  <sheetFormatPr baseColWidth="10" defaultColWidth="11.5" defaultRowHeight="15"/>
  <cols>
    <col min="1" max="1" width="10.33203125" bestFit="1" customWidth="1"/>
    <col min="2" max="4" width="12" bestFit="1" customWidth="1"/>
    <col min="5" max="5" width="9" bestFit="1" customWidth="1"/>
    <col min="6" max="9" width="12" bestFit="1" customWidth="1"/>
    <col min="10" max="10" width="11" bestFit="1" customWidth="1"/>
    <col min="11" max="13" width="12" bestFit="1" customWidth="1"/>
  </cols>
  <sheetData>
    <row r="1" spans="1:13">
      <c r="A1" t="s">
        <v>81</v>
      </c>
      <c r="B1" t="s">
        <v>5</v>
      </c>
      <c r="C1" t="s">
        <v>6</v>
      </c>
      <c r="D1" t="s">
        <v>7</v>
      </c>
      <c r="E1" t="s">
        <v>8</v>
      </c>
      <c r="F1" t="s">
        <v>9</v>
      </c>
      <c r="G1" t="s">
        <v>10</v>
      </c>
      <c r="H1" t="s">
        <v>11</v>
      </c>
      <c r="I1" t="s">
        <v>12</v>
      </c>
      <c r="J1" t="s">
        <v>13</v>
      </c>
      <c r="K1" t="s">
        <v>14</v>
      </c>
      <c r="L1" t="s">
        <v>15</v>
      </c>
      <c r="M1" t="s">
        <v>16</v>
      </c>
    </row>
    <row r="2" spans="1:13">
      <c r="A2" t="s">
        <v>20</v>
      </c>
      <c r="B2">
        <v>219.49128056960069</v>
      </c>
      <c r="C2">
        <v>224.0910341174193</v>
      </c>
      <c r="D2">
        <v>228.78582542789741</v>
      </c>
      <c r="E2">
        <v>237.44300000000001</v>
      </c>
      <c r="F2">
        <v>243.5015108142494</v>
      </c>
      <c r="G2">
        <v>251.77676273056301</v>
      </c>
      <c r="H2">
        <v>262.62744988292798</v>
      </c>
      <c r="I2">
        <v>264.40183857063653</v>
      </c>
      <c r="J2">
        <v>255.2296029763672</v>
      </c>
      <c r="K2">
        <v>272.94847731615351</v>
      </c>
      <c r="L2">
        <v>278.15742011068119</v>
      </c>
      <c r="M2">
        <v>275.53973869682699</v>
      </c>
    </row>
    <row r="3" spans="1:13">
      <c r="A3" t="s">
        <v>23</v>
      </c>
      <c r="B3">
        <v>5906.95</v>
      </c>
      <c r="C3">
        <v>6012.7904741442662</v>
      </c>
      <c r="D3">
        <v>6154.1472015092986</v>
      </c>
      <c r="E3">
        <v>6255.3269999999993</v>
      </c>
      <c r="F3">
        <v>6384.7396362814861</v>
      </c>
      <c r="G3">
        <v>6471.7734476815076</v>
      </c>
      <c r="H3">
        <v>6656.8892838179036</v>
      </c>
      <c r="I3">
        <v>6732.8680680346024</v>
      </c>
      <c r="J3">
        <v>6588.6642299553496</v>
      </c>
      <c r="K3">
        <v>6954.969674339749</v>
      </c>
      <c r="L3">
        <v>7166.7243121228394</v>
      </c>
      <c r="M3">
        <v>7215.669473408665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Y33"/>
  <sheetViews>
    <sheetView zoomScale="67" zoomScaleNormal="86" workbookViewId="0">
      <selection activeCell="Y5" sqref="Y5"/>
    </sheetView>
  </sheetViews>
  <sheetFormatPr baseColWidth="10" defaultColWidth="8.83203125" defaultRowHeight="15"/>
  <cols>
    <col min="1" max="1" width="12.6640625" bestFit="1" customWidth="1"/>
    <col min="2" max="9" width="12.5" bestFit="1" customWidth="1"/>
    <col min="10" max="25" width="13.6640625" bestFit="1" customWidth="1"/>
  </cols>
  <sheetData>
    <row r="2" spans="1:25">
      <c r="A2" t="s">
        <v>84</v>
      </c>
    </row>
    <row r="3" spans="1:25">
      <c r="A3" s="9" t="s">
        <v>85</v>
      </c>
      <c r="B3" s="11" t="s">
        <v>86</v>
      </c>
      <c r="C3" s="9" t="s">
        <v>87</v>
      </c>
      <c r="D3" s="11" t="s">
        <v>82</v>
      </c>
      <c r="E3" s="9" t="s">
        <v>88</v>
      </c>
      <c r="F3" s="11" t="s">
        <v>89</v>
      </c>
      <c r="G3" s="9" t="s">
        <v>90</v>
      </c>
      <c r="H3" s="11" t="s">
        <v>91</v>
      </c>
      <c r="I3" s="9" t="s">
        <v>92</v>
      </c>
      <c r="J3" s="11" t="s">
        <v>93</v>
      </c>
      <c r="K3" s="9" t="s">
        <v>94</v>
      </c>
      <c r="L3" s="11" t="s">
        <v>95</v>
      </c>
      <c r="M3" s="9" t="s">
        <v>96</v>
      </c>
      <c r="N3" s="11" t="s">
        <v>97</v>
      </c>
      <c r="O3" s="9" t="s">
        <v>98</v>
      </c>
      <c r="P3" s="11" t="s">
        <v>99</v>
      </c>
      <c r="Q3" s="9" t="s">
        <v>100</v>
      </c>
      <c r="R3" s="11" t="s">
        <v>101</v>
      </c>
      <c r="S3" s="9" t="s">
        <v>102</v>
      </c>
      <c r="T3" s="11" t="s">
        <v>103</v>
      </c>
      <c r="U3" s="9" t="s">
        <v>104</v>
      </c>
      <c r="V3" s="11" t="s">
        <v>105</v>
      </c>
      <c r="W3" s="9" t="s">
        <v>106</v>
      </c>
      <c r="X3" s="11" t="s">
        <v>107</v>
      </c>
      <c r="Y3" s="9" t="s">
        <v>108</v>
      </c>
    </row>
    <row r="4" spans="1:25">
      <c r="A4" s="7" t="s">
        <v>81</v>
      </c>
      <c r="B4" s="6">
        <v>2012</v>
      </c>
      <c r="C4" s="7"/>
      <c r="D4" s="6">
        <v>2013</v>
      </c>
      <c r="E4" s="7"/>
      <c r="F4" s="6">
        <v>2014</v>
      </c>
      <c r="G4" s="7"/>
      <c r="H4" s="6">
        <v>2015</v>
      </c>
      <c r="I4" s="7"/>
      <c r="J4" s="6">
        <v>2016</v>
      </c>
      <c r="K4" s="7"/>
      <c r="L4" s="6">
        <v>2017</v>
      </c>
      <c r="M4" s="7"/>
      <c r="N4" s="6">
        <v>2018</v>
      </c>
      <c r="O4" s="7"/>
      <c r="P4" s="6">
        <v>2019</v>
      </c>
      <c r="Q4" s="7"/>
      <c r="R4" s="6">
        <v>2020</v>
      </c>
      <c r="S4" s="7"/>
      <c r="T4" s="6">
        <v>2021</v>
      </c>
      <c r="U4" s="7"/>
      <c r="V4" s="6">
        <v>2022</v>
      </c>
      <c r="W4" s="7"/>
      <c r="X4" s="6">
        <v>2023</v>
      </c>
      <c r="Y4" s="7"/>
    </row>
    <row r="5" spans="1:25">
      <c r="A5" s="8" t="s">
        <v>20</v>
      </c>
      <c r="B5" s="3">
        <v>21270.9</v>
      </c>
      <c r="C5" s="2"/>
      <c r="D5" s="3">
        <v>21997</v>
      </c>
      <c r="E5" s="2"/>
      <c r="F5" s="3">
        <v>22790.5</v>
      </c>
      <c r="G5" s="2"/>
      <c r="H5" s="3">
        <v>23744.3</v>
      </c>
      <c r="I5" s="2"/>
      <c r="J5" s="3">
        <v>24498.2</v>
      </c>
      <c r="K5" s="2"/>
      <c r="L5" s="3">
        <v>26017.1</v>
      </c>
      <c r="M5" s="2"/>
      <c r="N5" s="3">
        <v>28153.4</v>
      </c>
      <c r="O5" s="2"/>
      <c r="P5" s="3">
        <v>29567</v>
      </c>
      <c r="Q5" s="2"/>
      <c r="R5" s="3">
        <v>29224.3</v>
      </c>
      <c r="S5" s="2"/>
      <c r="T5" s="3">
        <v>32283.8</v>
      </c>
      <c r="U5" s="2"/>
      <c r="V5" s="3">
        <v>36088.699999999997</v>
      </c>
      <c r="W5" s="2"/>
      <c r="X5" s="3">
        <v>39564.199999999997</v>
      </c>
      <c r="Y5" s="2"/>
    </row>
    <row r="6" spans="1:25">
      <c r="A6" s="8" t="s">
        <v>23</v>
      </c>
      <c r="B6" s="5">
        <v>534012.80000000005</v>
      </c>
      <c r="C6" s="4" t="s">
        <v>83</v>
      </c>
      <c r="D6" s="5">
        <v>531729.1</v>
      </c>
      <c r="E6" s="4" t="s">
        <v>83</v>
      </c>
      <c r="F6" s="5">
        <v>548014.5</v>
      </c>
      <c r="G6" s="4" t="s">
        <v>83</v>
      </c>
      <c r="H6" s="5">
        <v>625532.69999999995</v>
      </c>
      <c r="I6" s="4" t="s">
        <v>83</v>
      </c>
      <c r="J6" s="5">
        <v>621765.1</v>
      </c>
      <c r="K6" s="4" t="s">
        <v>83</v>
      </c>
      <c r="L6" s="5">
        <v>615776.30000000005</v>
      </c>
      <c r="M6" s="4" t="s">
        <v>83</v>
      </c>
      <c r="N6" s="5">
        <v>614304.4</v>
      </c>
      <c r="O6" s="4" t="s">
        <v>83</v>
      </c>
      <c r="P6" s="5">
        <v>644443.19999999995</v>
      </c>
      <c r="Q6" s="4" t="s">
        <v>83</v>
      </c>
      <c r="R6" s="5">
        <v>650742.6</v>
      </c>
      <c r="S6" s="4" t="s">
        <v>83</v>
      </c>
      <c r="T6" s="5">
        <v>689174.9</v>
      </c>
      <c r="U6" s="4" t="s">
        <v>83</v>
      </c>
      <c r="V6" s="5">
        <v>787386.5</v>
      </c>
      <c r="W6" s="4" t="s">
        <v>83</v>
      </c>
      <c r="X6" s="5">
        <v>826951.8</v>
      </c>
      <c r="Y6" s="4" t="s">
        <v>83</v>
      </c>
    </row>
    <row r="7" spans="1:25">
      <c r="A7" t="s">
        <v>109</v>
      </c>
    </row>
    <row r="8" spans="1:25">
      <c r="A8" s="9" t="s">
        <v>81</v>
      </c>
      <c r="B8" s="10" t="s">
        <v>5</v>
      </c>
      <c r="C8" s="9" t="s">
        <v>85</v>
      </c>
      <c r="D8" s="10" t="s">
        <v>6</v>
      </c>
      <c r="E8" s="9" t="s">
        <v>86</v>
      </c>
      <c r="F8" s="10" t="s">
        <v>7</v>
      </c>
      <c r="G8" s="9" t="s">
        <v>87</v>
      </c>
      <c r="H8" s="10" t="s">
        <v>8</v>
      </c>
      <c r="I8" s="9" t="s">
        <v>82</v>
      </c>
      <c r="J8" s="10" t="s">
        <v>9</v>
      </c>
      <c r="K8" s="9" t="s">
        <v>88</v>
      </c>
      <c r="L8" s="10" t="s">
        <v>10</v>
      </c>
      <c r="M8" s="9" t="s">
        <v>89</v>
      </c>
      <c r="N8" s="10" t="s">
        <v>11</v>
      </c>
      <c r="O8" s="9" t="s">
        <v>90</v>
      </c>
      <c r="P8" s="10" t="s">
        <v>12</v>
      </c>
      <c r="Q8" s="9" t="s">
        <v>91</v>
      </c>
      <c r="R8" s="10" t="s">
        <v>13</v>
      </c>
      <c r="S8" s="9" t="s">
        <v>92</v>
      </c>
      <c r="T8" s="10" t="s">
        <v>14</v>
      </c>
      <c r="U8" s="9" t="s">
        <v>93</v>
      </c>
      <c r="V8" s="10" t="s">
        <v>15</v>
      </c>
      <c r="W8" s="9" t="s">
        <v>94</v>
      </c>
      <c r="X8" s="10" t="s">
        <v>16</v>
      </c>
      <c r="Y8" s="9" t="s">
        <v>95</v>
      </c>
    </row>
    <row r="9" spans="1:25">
      <c r="A9" s="12" t="s">
        <v>110</v>
      </c>
      <c r="B9" s="1" t="s">
        <v>83</v>
      </c>
      <c r="C9" s="1" t="s">
        <v>83</v>
      </c>
      <c r="D9" s="1" t="s">
        <v>83</v>
      </c>
      <c r="E9" s="1" t="s">
        <v>83</v>
      </c>
      <c r="F9" s="1" t="s">
        <v>83</v>
      </c>
      <c r="G9" s="1" t="s">
        <v>83</v>
      </c>
      <c r="H9" s="1" t="s">
        <v>83</v>
      </c>
      <c r="I9" s="1" t="s">
        <v>83</v>
      </c>
      <c r="J9" s="1" t="s">
        <v>83</v>
      </c>
      <c r="K9" s="1" t="s">
        <v>83</v>
      </c>
      <c r="L9" s="1" t="s">
        <v>83</v>
      </c>
      <c r="M9" s="1" t="s">
        <v>83</v>
      </c>
      <c r="N9" s="1" t="s">
        <v>83</v>
      </c>
      <c r="O9" s="1" t="s">
        <v>83</v>
      </c>
      <c r="P9" s="1" t="s">
        <v>83</v>
      </c>
      <c r="Q9" s="1" t="s">
        <v>83</v>
      </c>
      <c r="R9" s="1" t="s">
        <v>83</v>
      </c>
      <c r="S9" s="1" t="s">
        <v>83</v>
      </c>
      <c r="T9" s="1" t="s">
        <v>83</v>
      </c>
      <c r="U9" s="1" t="s">
        <v>83</v>
      </c>
      <c r="V9" s="1" t="s">
        <v>83</v>
      </c>
      <c r="W9" s="1" t="s">
        <v>83</v>
      </c>
      <c r="X9" s="1" t="s">
        <v>83</v>
      </c>
      <c r="Y9" s="1" t="s">
        <v>83</v>
      </c>
    </row>
    <row r="10" spans="1:25">
      <c r="A10" s="8" t="s">
        <v>20</v>
      </c>
      <c r="B10" s="2">
        <v>96.91</v>
      </c>
      <c r="C10" s="2"/>
      <c r="D10" s="2">
        <v>98.161000000000001</v>
      </c>
      <c r="E10" s="2"/>
      <c r="F10" s="2">
        <v>99.614999999999995</v>
      </c>
      <c r="G10" s="2"/>
      <c r="H10" s="2">
        <v>100</v>
      </c>
      <c r="I10" s="2"/>
      <c r="J10" s="2">
        <v>100.608</v>
      </c>
      <c r="K10" s="2"/>
      <c r="L10" s="2">
        <v>103.334</v>
      </c>
      <c r="M10" s="2"/>
      <c r="N10" s="2">
        <v>107.199</v>
      </c>
      <c r="O10" s="2"/>
      <c r="P10" s="2">
        <v>111.82599999999999</v>
      </c>
      <c r="Q10" s="2"/>
      <c r="R10" s="2">
        <v>114.502</v>
      </c>
      <c r="S10" s="2"/>
      <c r="T10" s="2">
        <v>118.27800000000001</v>
      </c>
      <c r="U10" s="2"/>
      <c r="V10" s="2">
        <v>129.74199999999999</v>
      </c>
      <c r="W10" s="2"/>
      <c r="X10" s="2">
        <v>143.58799999999999</v>
      </c>
      <c r="Y10" s="2"/>
    </row>
    <row r="11" spans="1:25">
      <c r="A11" s="8" t="s">
        <v>23</v>
      </c>
      <c r="B11" s="4">
        <v>90.403999999999996</v>
      </c>
      <c r="C11" s="4" t="s">
        <v>83</v>
      </c>
      <c r="D11" s="4">
        <v>88.433000000000007</v>
      </c>
      <c r="E11" s="4" t="s">
        <v>83</v>
      </c>
      <c r="F11" s="4">
        <v>89.048000000000002</v>
      </c>
      <c r="G11" s="4" t="s">
        <v>83</v>
      </c>
      <c r="H11" s="4">
        <v>100</v>
      </c>
      <c r="I11" s="4" t="s">
        <v>83</v>
      </c>
      <c r="J11" s="4">
        <v>97.382999999999996</v>
      </c>
      <c r="K11" s="4" t="s">
        <v>83</v>
      </c>
      <c r="L11" s="4">
        <v>95.147999999999996</v>
      </c>
      <c r="M11" s="4" t="s">
        <v>83</v>
      </c>
      <c r="N11" s="4">
        <v>92.281000000000006</v>
      </c>
      <c r="O11" s="4" t="s">
        <v>83</v>
      </c>
      <c r="P11" s="4">
        <v>95.715999999999994</v>
      </c>
      <c r="Q11" s="4" t="s">
        <v>83</v>
      </c>
      <c r="R11" s="4">
        <v>98.766999999999996</v>
      </c>
      <c r="S11" s="4" t="s">
        <v>83</v>
      </c>
      <c r="T11" s="4">
        <v>99.090999999999994</v>
      </c>
      <c r="U11" s="4" t="s">
        <v>83</v>
      </c>
      <c r="V11" s="4">
        <v>109.867</v>
      </c>
      <c r="W11" s="4" t="s">
        <v>83</v>
      </c>
      <c r="X11" s="4">
        <v>114.605</v>
      </c>
      <c r="Y11" s="4" t="s">
        <v>83</v>
      </c>
    </row>
    <row r="13" spans="1:25">
      <c r="A13" t="s">
        <v>36</v>
      </c>
    </row>
    <row r="14" spans="1:25">
      <c r="A14" s="9" t="s">
        <v>81</v>
      </c>
      <c r="B14" s="10" t="s">
        <v>5</v>
      </c>
      <c r="C14" s="9" t="s">
        <v>85</v>
      </c>
      <c r="D14" s="10" t="s">
        <v>6</v>
      </c>
      <c r="E14" s="9" t="s">
        <v>86</v>
      </c>
      <c r="F14" s="10" t="s">
        <v>7</v>
      </c>
      <c r="G14" s="9" t="s">
        <v>87</v>
      </c>
      <c r="H14" s="10" t="s">
        <v>8</v>
      </c>
      <c r="I14" s="9" t="s">
        <v>82</v>
      </c>
      <c r="J14" s="10" t="s">
        <v>9</v>
      </c>
      <c r="K14" s="9" t="s">
        <v>88</v>
      </c>
      <c r="L14" s="10" t="s">
        <v>10</v>
      </c>
      <c r="M14" s="9" t="s">
        <v>89</v>
      </c>
      <c r="N14" s="10" t="s">
        <v>11</v>
      </c>
      <c r="O14" s="9" t="s">
        <v>90</v>
      </c>
      <c r="P14" s="10" t="s">
        <v>12</v>
      </c>
      <c r="Q14" s="9" t="s">
        <v>91</v>
      </c>
      <c r="R14" s="10" t="s">
        <v>13</v>
      </c>
      <c r="S14" s="9" t="s">
        <v>92</v>
      </c>
      <c r="T14" s="10" t="s">
        <v>14</v>
      </c>
      <c r="U14" s="9" t="s">
        <v>93</v>
      </c>
      <c r="V14" s="10" t="s">
        <v>15</v>
      </c>
      <c r="W14" s="9" t="s">
        <v>94</v>
      </c>
      <c r="X14" s="10" t="s">
        <v>16</v>
      </c>
      <c r="Y14" s="9" t="s">
        <v>95</v>
      </c>
    </row>
    <row r="15" spans="1:25">
      <c r="A15" s="12" t="s">
        <v>110</v>
      </c>
      <c r="B15" s="1" t="s">
        <v>83</v>
      </c>
      <c r="C15" s="1" t="s">
        <v>83</v>
      </c>
      <c r="D15" s="1" t="s">
        <v>83</v>
      </c>
      <c r="E15" s="1" t="s">
        <v>83</v>
      </c>
      <c r="F15" s="1" t="s">
        <v>83</v>
      </c>
      <c r="G15" s="1" t="s">
        <v>83</v>
      </c>
      <c r="H15" s="1" t="s">
        <v>83</v>
      </c>
      <c r="I15" s="1" t="s">
        <v>83</v>
      </c>
      <c r="J15" s="1" t="s">
        <v>83</v>
      </c>
      <c r="K15" s="1" t="s">
        <v>83</v>
      </c>
      <c r="L15" s="1" t="s">
        <v>83</v>
      </c>
      <c r="M15" s="1" t="s">
        <v>83</v>
      </c>
      <c r="N15" s="1" t="s">
        <v>83</v>
      </c>
      <c r="O15" s="1" t="s">
        <v>83</v>
      </c>
      <c r="P15" s="1" t="s">
        <v>83</v>
      </c>
      <c r="Q15" s="1" t="s">
        <v>83</v>
      </c>
      <c r="R15" s="1" t="s">
        <v>83</v>
      </c>
      <c r="S15" s="1" t="s">
        <v>83</v>
      </c>
      <c r="T15" s="1" t="s">
        <v>83</v>
      </c>
      <c r="U15" s="1" t="s">
        <v>83</v>
      </c>
      <c r="V15" s="1" t="s">
        <v>83</v>
      </c>
      <c r="W15" s="1" t="s">
        <v>83</v>
      </c>
      <c r="X15" s="1" t="s">
        <v>83</v>
      </c>
      <c r="Y15" s="1" t="s">
        <v>83</v>
      </c>
    </row>
    <row r="16" spans="1:25">
      <c r="A16" s="8" t="s">
        <v>20</v>
      </c>
      <c r="B16" s="2">
        <v>99.09</v>
      </c>
      <c r="C16" s="2"/>
      <c r="D16" s="2">
        <v>99.11</v>
      </c>
      <c r="E16" s="2"/>
      <c r="F16" s="2">
        <v>99.79</v>
      </c>
      <c r="G16" s="2"/>
      <c r="H16" s="2">
        <v>100</v>
      </c>
      <c r="I16" s="2"/>
      <c r="J16" s="2">
        <v>100.1</v>
      </c>
      <c r="K16" s="2"/>
      <c r="L16" s="2">
        <v>103</v>
      </c>
      <c r="M16" s="2"/>
      <c r="N16" s="2">
        <v>105.63</v>
      </c>
      <c r="O16" s="2"/>
      <c r="P16" s="2">
        <v>108.53</v>
      </c>
      <c r="Q16" s="2"/>
      <c r="R16" s="2">
        <v>108.62</v>
      </c>
      <c r="S16" s="2"/>
      <c r="T16" s="2">
        <v>112.14</v>
      </c>
      <c r="U16" s="2"/>
      <c r="V16" s="2">
        <v>131.47</v>
      </c>
      <c r="W16" s="2"/>
      <c r="X16" s="2">
        <v>143.38</v>
      </c>
      <c r="Y16" s="2"/>
    </row>
    <row r="17" spans="1:25">
      <c r="A17" s="8" t="s">
        <v>23</v>
      </c>
      <c r="B17" s="4">
        <v>100.76</v>
      </c>
      <c r="C17" s="4" t="s">
        <v>83</v>
      </c>
      <c r="D17" s="4">
        <v>100.83</v>
      </c>
      <c r="E17" s="4" t="s">
        <v>83</v>
      </c>
      <c r="F17" s="4">
        <v>100.84</v>
      </c>
      <c r="G17" s="4" t="s">
        <v>83</v>
      </c>
      <c r="H17" s="4">
        <v>100</v>
      </c>
      <c r="I17" s="4" t="s">
        <v>83</v>
      </c>
      <c r="J17" s="4">
        <v>99.47</v>
      </c>
      <c r="K17" s="4" t="s">
        <v>83</v>
      </c>
      <c r="L17" s="4">
        <v>100.11</v>
      </c>
      <c r="M17" s="4" t="s">
        <v>83</v>
      </c>
      <c r="N17" s="4">
        <v>101.03</v>
      </c>
      <c r="O17" s="4" t="s">
        <v>83</v>
      </c>
      <c r="P17" s="4">
        <v>101.41</v>
      </c>
      <c r="Q17" s="4" t="s">
        <v>83</v>
      </c>
      <c r="R17" s="4">
        <v>100.56</v>
      </c>
      <c r="S17" s="4" t="s">
        <v>83</v>
      </c>
      <c r="T17" s="4">
        <v>101.04</v>
      </c>
      <c r="U17" s="4" t="s">
        <v>83</v>
      </c>
      <c r="V17" s="4">
        <v>103.74</v>
      </c>
      <c r="W17" s="4" t="s">
        <v>83</v>
      </c>
      <c r="X17" s="4">
        <v>106.1</v>
      </c>
      <c r="Y17" s="4" t="s">
        <v>83</v>
      </c>
    </row>
    <row r="19" spans="1:25">
      <c r="A19" t="s">
        <v>111</v>
      </c>
    </row>
    <row r="20" spans="1:25">
      <c r="A20" s="9" t="s">
        <v>81</v>
      </c>
      <c r="B20" s="10" t="s">
        <v>5</v>
      </c>
      <c r="C20" s="9" t="s">
        <v>85</v>
      </c>
      <c r="D20" s="10" t="s">
        <v>6</v>
      </c>
      <c r="E20" s="9" t="s">
        <v>86</v>
      </c>
      <c r="F20" s="10" t="s">
        <v>7</v>
      </c>
      <c r="G20" s="9" t="s">
        <v>87</v>
      </c>
      <c r="H20" s="10" t="s">
        <v>8</v>
      </c>
      <c r="I20" s="9" t="s">
        <v>82</v>
      </c>
      <c r="J20" s="10" t="s">
        <v>9</v>
      </c>
      <c r="K20" s="9" t="s">
        <v>88</v>
      </c>
      <c r="L20" s="10" t="s">
        <v>10</v>
      </c>
      <c r="M20" s="9" t="s">
        <v>89</v>
      </c>
      <c r="N20" s="10" t="s">
        <v>11</v>
      </c>
      <c r="O20" s="9" t="s">
        <v>90</v>
      </c>
      <c r="P20" s="10" t="s">
        <v>12</v>
      </c>
      <c r="Q20" s="9" t="s">
        <v>91</v>
      </c>
      <c r="R20" s="10" t="s">
        <v>13</v>
      </c>
      <c r="S20" s="9" t="s">
        <v>92</v>
      </c>
      <c r="T20" s="10" t="s">
        <v>14</v>
      </c>
      <c r="U20" s="9" t="s">
        <v>93</v>
      </c>
      <c r="V20" s="10" t="s">
        <v>15</v>
      </c>
      <c r="W20" s="9" t="s">
        <v>94</v>
      </c>
      <c r="X20" s="10" t="s">
        <v>16</v>
      </c>
      <c r="Y20" s="9" t="s">
        <v>95</v>
      </c>
    </row>
    <row r="21" spans="1:25">
      <c r="A21" s="12" t="s">
        <v>110</v>
      </c>
      <c r="B21" s="1" t="s">
        <v>83</v>
      </c>
      <c r="C21" s="1" t="s">
        <v>83</v>
      </c>
      <c r="D21" s="1" t="s">
        <v>83</v>
      </c>
      <c r="E21" s="1" t="s">
        <v>83</v>
      </c>
      <c r="F21" s="1" t="s">
        <v>83</v>
      </c>
      <c r="G21" s="1" t="s">
        <v>83</v>
      </c>
      <c r="H21" s="1" t="s">
        <v>83</v>
      </c>
      <c r="I21" s="1" t="s">
        <v>83</v>
      </c>
      <c r="J21" s="1" t="s">
        <v>83</v>
      </c>
      <c r="K21" s="1" t="s">
        <v>83</v>
      </c>
      <c r="L21" s="1" t="s">
        <v>83</v>
      </c>
      <c r="M21" s="1" t="s">
        <v>83</v>
      </c>
      <c r="N21" s="1" t="s">
        <v>83</v>
      </c>
      <c r="O21" s="1" t="s">
        <v>83</v>
      </c>
      <c r="P21" s="1" t="s">
        <v>83</v>
      </c>
      <c r="Q21" s="1" t="s">
        <v>83</v>
      </c>
      <c r="R21" s="1" t="s">
        <v>83</v>
      </c>
      <c r="S21" s="1" t="s">
        <v>83</v>
      </c>
      <c r="T21" s="1" t="s">
        <v>83</v>
      </c>
      <c r="U21" s="1" t="s">
        <v>83</v>
      </c>
      <c r="V21" s="1" t="s">
        <v>83</v>
      </c>
      <c r="W21" s="1" t="s">
        <v>83</v>
      </c>
      <c r="X21" s="1" t="s">
        <v>83</v>
      </c>
      <c r="Y21" s="1" t="s">
        <v>83</v>
      </c>
    </row>
    <row r="22" spans="1:25">
      <c r="A22" s="8" t="s">
        <v>20</v>
      </c>
      <c r="B22" s="4">
        <v>15.1</v>
      </c>
      <c r="C22" s="4" t="s">
        <v>83</v>
      </c>
      <c r="D22" s="4">
        <v>11.9</v>
      </c>
      <c r="E22" s="4" t="s">
        <v>83</v>
      </c>
      <c r="F22" s="4">
        <v>10.9</v>
      </c>
      <c r="G22" s="4" t="s">
        <v>83</v>
      </c>
      <c r="H22" s="4">
        <v>9.9</v>
      </c>
      <c r="I22" s="4" t="s">
        <v>83</v>
      </c>
      <c r="J22" s="4">
        <v>9.6999999999999993</v>
      </c>
      <c r="K22" s="4" t="s">
        <v>83</v>
      </c>
      <c r="L22" s="4">
        <v>8.6999999999999993</v>
      </c>
      <c r="M22" s="4" t="s">
        <v>83</v>
      </c>
      <c r="N22" s="4">
        <v>7.4</v>
      </c>
      <c r="O22" s="4" t="s">
        <v>83</v>
      </c>
      <c r="P22" s="4">
        <v>6.3</v>
      </c>
      <c r="Q22" s="4" t="s">
        <v>83</v>
      </c>
      <c r="R22" s="4">
        <v>8.1</v>
      </c>
      <c r="S22" s="4" t="s">
        <v>83</v>
      </c>
      <c r="T22" s="4">
        <v>7.6</v>
      </c>
      <c r="U22" s="4" t="s">
        <v>83</v>
      </c>
      <c r="V22" s="4">
        <v>6.9</v>
      </c>
      <c r="W22" s="4" t="s">
        <v>83</v>
      </c>
      <c r="X22" s="4">
        <v>6.5</v>
      </c>
      <c r="Y22" s="4" t="s">
        <v>83</v>
      </c>
    </row>
    <row r="23" spans="1:25">
      <c r="A23" s="8" t="s">
        <v>23</v>
      </c>
      <c r="B23" s="2">
        <v>4.5</v>
      </c>
      <c r="C23" s="2"/>
      <c r="D23" s="2">
        <v>4.8</v>
      </c>
      <c r="E23" s="2"/>
      <c r="F23" s="2">
        <v>4.9000000000000004</v>
      </c>
      <c r="G23" s="2"/>
      <c r="H23" s="2">
        <v>4.8</v>
      </c>
      <c r="I23" s="2"/>
      <c r="J23" s="2">
        <v>5</v>
      </c>
      <c r="K23" s="2"/>
      <c r="L23" s="2">
        <v>4.8</v>
      </c>
      <c r="M23" s="2"/>
      <c r="N23" s="2">
        <v>4.7</v>
      </c>
      <c r="O23" s="2"/>
      <c r="P23" s="2">
        <v>4.4000000000000004</v>
      </c>
      <c r="Q23" s="2"/>
      <c r="R23" s="2">
        <v>4.8</v>
      </c>
      <c r="S23" s="2"/>
      <c r="T23" s="2">
        <v>5.0999999999999996</v>
      </c>
      <c r="U23" s="2"/>
      <c r="V23" s="2">
        <v>4.0999999999999996</v>
      </c>
      <c r="W23" s="2"/>
      <c r="X23" s="2">
        <v>4.0999999999999996</v>
      </c>
      <c r="Y23" s="2"/>
    </row>
    <row r="25" spans="1:25">
      <c r="A25" t="s">
        <v>112</v>
      </c>
    </row>
    <row r="27" spans="1:25">
      <c r="A27" s="7" t="s">
        <v>81</v>
      </c>
      <c r="B27" s="6">
        <v>2012</v>
      </c>
      <c r="C27" s="7"/>
      <c r="D27" s="6">
        <v>2013</v>
      </c>
      <c r="E27" s="7"/>
      <c r="F27" s="6">
        <v>2014</v>
      </c>
      <c r="G27" s="7"/>
      <c r="H27" s="6">
        <v>2015</v>
      </c>
      <c r="I27" s="7"/>
      <c r="J27" s="6">
        <v>2016</v>
      </c>
      <c r="K27" s="7"/>
      <c r="L27" s="6">
        <v>2017</v>
      </c>
      <c r="M27" s="7"/>
      <c r="N27" s="6">
        <v>2018</v>
      </c>
      <c r="O27" s="7"/>
      <c r="P27" s="6">
        <v>2019</v>
      </c>
      <c r="Q27" s="7"/>
      <c r="R27" s="6">
        <v>2020</v>
      </c>
      <c r="S27" s="7"/>
      <c r="T27" s="6">
        <v>2021</v>
      </c>
      <c r="U27" s="7"/>
      <c r="V27" s="6">
        <v>2022</v>
      </c>
      <c r="W27" s="7"/>
      <c r="X27" s="6">
        <v>2023</v>
      </c>
      <c r="Y27" s="7"/>
    </row>
    <row r="28" spans="1:25">
      <c r="A28" s="8" t="s">
        <v>20</v>
      </c>
      <c r="B28">
        <f>B5/B10</f>
        <v>219.49128056960069</v>
      </c>
      <c r="D28">
        <f>D5/D10</f>
        <v>224.09103411741933</v>
      </c>
      <c r="F28">
        <f>F5/F10</f>
        <v>228.78582542789741</v>
      </c>
      <c r="H28">
        <f>H5/H10</f>
        <v>237.44299999999998</v>
      </c>
      <c r="J28">
        <f>J5/J10</f>
        <v>243.50151081424937</v>
      </c>
      <c r="L28">
        <f>L5/L10</f>
        <v>251.77676273056301</v>
      </c>
      <c r="N28">
        <f>N5/N10</f>
        <v>262.62744988292803</v>
      </c>
      <c r="P28">
        <f>P5/P10</f>
        <v>264.40183857063653</v>
      </c>
      <c r="R28">
        <f>R5/R10</f>
        <v>255.22960297636723</v>
      </c>
      <c r="T28">
        <f>T5/T10</f>
        <v>272.94847731615346</v>
      </c>
      <c r="V28">
        <f>V5/V10</f>
        <v>278.15742011068119</v>
      </c>
      <c r="X28">
        <f>X5/X10</f>
        <v>275.53973869682704</v>
      </c>
    </row>
    <row r="29" spans="1:25">
      <c r="A29" s="8" t="s">
        <v>23</v>
      </c>
      <c r="B29">
        <v>5906.95</v>
      </c>
      <c r="D29">
        <f>D6/D11</f>
        <v>6012.7904741442662</v>
      </c>
      <c r="F29">
        <f>F6/F11</f>
        <v>6154.1472015092986</v>
      </c>
      <c r="H29">
        <f>H6/H11</f>
        <v>6255.3269999999993</v>
      </c>
      <c r="J29">
        <f>J6/J11</f>
        <v>6384.7396362814861</v>
      </c>
      <c r="L29">
        <f>L6/L11</f>
        <v>6471.7734476815076</v>
      </c>
      <c r="N29">
        <f>N6/N11</f>
        <v>6656.8892838179036</v>
      </c>
      <c r="P29">
        <f>P6/P11</f>
        <v>6732.8680680346024</v>
      </c>
      <c r="R29">
        <f>R6/R11</f>
        <v>6588.6642299553496</v>
      </c>
      <c r="T29">
        <f>T6/T11</f>
        <v>6954.969674339749</v>
      </c>
      <c r="V29">
        <f>V6/V11</f>
        <v>7166.7243121228394</v>
      </c>
      <c r="X29">
        <f>X6/X11</f>
        <v>7215.669473408665</v>
      </c>
    </row>
    <row r="31" spans="1:25">
      <c r="A31" t="s">
        <v>84</v>
      </c>
      <c r="B31" t="s">
        <v>87</v>
      </c>
      <c r="C31" t="s">
        <v>5</v>
      </c>
      <c r="D31" t="s">
        <v>86</v>
      </c>
      <c r="E31" t="s">
        <v>6</v>
      </c>
      <c r="F31" t="s">
        <v>89</v>
      </c>
      <c r="G31" t="s">
        <v>7</v>
      </c>
      <c r="H31" t="s">
        <v>91</v>
      </c>
      <c r="I31" t="s">
        <v>8</v>
      </c>
      <c r="J31" t="s">
        <v>93</v>
      </c>
      <c r="K31" t="s">
        <v>9</v>
      </c>
      <c r="L31" t="s">
        <v>95</v>
      </c>
      <c r="M31" t="s">
        <v>10</v>
      </c>
      <c r="N31" t="s">
        <v>97</v>
      </c>
      <c r="O31" t="s">
        <v>11</v>
      </c>
      <c r="P31" t="s">
        <v>99</v>
      </c>
      <c r="Q31" t="s">
        <v>12</v>
      </c>
      <c r="R31" t="s">
        <v>101</v>
      </c>
      <c r="S31" t="s">
        <v>13</v>
      </c>
      <c r="T31" t="s">
        <v>103</v>
      </c>
      <c r="U31" t="s">
        <v>14</v>
      </c>
      <c r="V31" t="s">
        <v>105</v>
      </c>
      <c r="W31" t="s">
        <v>15</v>
      </c>
      <c r="X31" t="s">
        <v>107</v>
      </c>
      <c r="Y31" t="s">
        <v>16</v>
      </c>
    </row>
    <row r="32" spans="1:25">
      <c r="A32" t="s">
        <v>20</v>
      </c>
    </row>
    <row r="33" spans="1:1">
      <c r="A33" t="s">
        <v>23</v>
      </c>
    </row>
  </sheetData>
  <pageMargins left="0.7" right="0.7" top="0.75" bottom="0.75" header="0.3" footer="0.3"/>
  <drawing r:id="rId1"/>
  <tableParts count="6">
    <tablePart r:id="rId2"/>
    <tablePart r:id="rId3"/>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R121"/>
  <sheetViews>
    <sheetView tabSelected="1" zoomScale="72" zoomScaleNormal="31" workbookViewId="0">
      <selection activeCell="N3" sqref="N3"/>
    </sheetView>
  </sheetViews>
  <sheetFormatPr baseColWidth="10" defaultColWidth="8.83203125" defaultRowHeight="15"/>
  <cols>
    <col min="1" max="1" width="28.5" customWidth="1"/>
    <col min="2" max="2" width="12.5" bestFit="1" customWidth="1"/>
    <col min="3" max="9" width="11.6640625" customWidth="1"/>
    <col min="10" max="13" width="11.83203125" bestFit="1" customWidth="1"/>
    <col min="14" max="14" width="9.5" bestFit="1" customWidth="1"/>
    <col min="20" max="20" width="74.5" customWidth="1"/>
    <col min="21" max="21" width="17" customWidth="1"/>
    <col min="22" max="22" width="17.5" customWidth="1"/>
    <col min="23" max="23" width="17" customWidth="1"/>
    <col min="24" max="24" width="17.33203125" customWidth="1"/>
    <col min="25" max="25" width="18.5" customWidth="1"/>
    <col min="26" max="26" width="16.83203125" customWidth="1"/>
    <col min="27" max="27" width="17.33203125" customWidth="1"/>
    <col min="28" max="28" width="18.1640625" customWidth="1"/>
    <col min="29" max="29" width="16.6640625" customWidth="1"/>
    <col min="30" max="30" width="17.1640625" customWidth="1"/>
    <col min="31" max="32" width="17" customWidth="1"/>
    <col min="33" max="33" width="12.83203125" customWidth="1"/>
    <col min="35" max="35" width="5.5" customWidth="1"/>
    <col min="40" max="42" width="14.1640625" bestFit="1" customWidth="1"/>
    <col min="43" max="43" width="9.1640625" bestFit="1" customWidth="1"/>
    <col min="45" max="45" width="49.5" customWidth="1"/>
    <col min="46" max="48" width="14" bestFit="1" customWidth="1"/>
  </cols>
  <sheetData>
    <row r="1" spans="1:69">
      <c r="A1" t="s">
        <v>0</v>
      </c>
      <c r="B1" t="s">
        <v>1</v>
      </c>
      <c r="T1" t="s">
        <v>2</v>
      </c>
      <c r="AS1" t="s">
        <v>3</v>
      </c>
    </row>
    <row r="2" spans="1:69">
      <c r="A2" s="14" t="s">
        <v>4</v>
      </c>
      <c r="B2" t="s">
        <v>5</v>
      </c>
      <c r="C2" t="s">
        <v>6</v>
      </c>
      <c r="D2" t="s">
        <v>7</v>
      </c>
      <c r="E2" t="s">
        <v>8</v>
      </c>
      <c r="F2" t="s">
        <v>9</v>
      </c>
      <c r="G2" t="s">
        <v>10</v>
      </c>
      <c r="H2" t="s">
        <v>11</v>
      </c>
      <c r="I2" t="s">
        <v>12</v>
      </c>
      <c r="J2" t="s">
        <v>13</v>
      </c>
      <c r="K2" t="s">
        <v>14</v>
      </c>
      <c r="L2" t="s">
        <v>15</v>
      </c>
      <c r="M2" t="s">
        <v>16</v>
      </c>
      <c r="S2" t="s">
        <v>17</v>
      </c>
      <c r="T2" s="17" t="s">
        <v>18</v>
      </c>
      <c r="U2" s="18">
        <v>2012</v>
      </c>
      <c r="V2" s="18">
        <v>2013</v>
      </c>
      <c r="W2" s="18">
        <v>2014</v>
      </c>
      <c r="X2" s="18">
        <v>2015</v>
      </c>
      <c r="Y2" s="18">
        <v>2016</v>
      </c>
      <c r="Z2" s="18">
        <v>2017</v>
      </c>
      <c r="AA2" s="18">
        <v>2018</v>
      </c>
      <c r="AB2" s="18">
        <v>2019</v>
      </c>
      <c r="AC2" s="18">
        <v>2020</v>
      </c>
      <c r="AD2" s="18">
        <v>2021</v>
      </c>
      <c r="AE2" s="18">
        <v>2022</v>
      </c>
      <c r="AF2" s="19">
        <v>2023</v>
      </c>
      <c r="AM2" s="14" t="s">
        <v>19</v>
      </c>
      <c r="AN2" t="s">
        <v>10</v>
      </c>
      <c r="AO2" t="s">
        <v>11</v>
      </c>
      <c r="AP2" t="s">
        <v>12</v>
      </c>
    </row>
    <row r="3" spans="1:69" ht="16">
      <c r="A3" s="13" t="s">
        <v>20</v>
      </c>
      <c r="B3" s="15">
        <v>21270.9</v>
      </c>
      <c r="C3" s="15">
        <v>21997</v>
      </c>
      <c r="D3" s="15">
        <v>22790.5</v>
      </c>
      <c r="E3" s="15">
        <v>23744.3</v>
      </c>
      <c r="F3" s="15">
        <v>24498.2</v>
      </c>
      <c r="G3" s="15">
        <v>26017.1</v>
      </c>
      <c r="H3" s="15">
        <v>28153.4</v>
      </c>
      <c r="I3" s="15">
        <v>29567</v>
      </c>
      <c r="J3" s="15">
        <v>29224.3</v>
      </c>
      <c r="K3" s="15">
        <v>32283.8</v>
      </c>
      <c r="L3" s="15">
        <v>36088.699999999997</v>
      </c>
      <c r="M3" s="15">
        <v>39564.199999999997</v>
      </c>
      <c r="T3" s="20" t="s">
        <v>21</v>
      </c>
      <c r="U3" s="21">
        <v>14148112674.2271</v>
      </c>
      <c r="V3" s="21">
        <v>15091560229.86348</v>
      </c>
      <c r="W3" s="21">
        <v>15230456658.763399</v>
      </c>
      <c r="X3" s="21">
        <v>15506714148.257021</v>
      </c>
      <c r="Y3" s="21">
        <v>16111938401.79394</v>
      </c>
      <c r="Z3" s="21">
        <v>16565362684.917669</v>
      </c>
      <c r="AA3" s="21">
        <v>17164183525.75485</v>
      </c>
      <c r="AB3" s="22">
        <v>17143261613.933649</v>
      </c>
      <c r="AC3" s="22">
        <v>16322169009.362511</v>
      </c>
      <c r="AD3" s="22">
        <v>17636409018.41328</v>
      </c>
      <c r="AE3" s="22">
        <v>18534013136.118759</v>
      </c>
      <c r="AF3" s="22">
        <v>18343403810.13298</v>
      </c>
      <c r="AM3" s="13" t="s">
        <v>20</v>
      </c>
      <c r="AN3" s="28">
        <v>52996.41015625</v>
      </c>
      <c r="AO3" s="28">
        <v>55129.16015625</v>
      </c>
      <c r="AP3" s="28">
        <v>56261.5546875</v>
      </c>
      <c r="AS3" t="s">
        <v>22</v>
      </c>
    </row>
    <row r="4" spans="1:69">
      <c r="A4" s="14" t="s">
        <v>23</v>
      </c>
      <c r="B4" s="15">
        <v>534012.80000000005</v>
      </c>
      <c r="C4" s="15">
        <v>531729.1</v>
      </c>
      <c r="D4" s="15">
        <v>548014.5</v>
      </c>
      <c r="E4" s="15">
        <v>625532.69999999995</v>
      </c>
      <c r="F4" s="15">
        <v>621765.1</v>
      </c>
      <c r="G4" s="15">
        <v>615776.30000000005</v>
      </c>
      <c r="H4" s="15">
        <v>614304.4</v>
      </c>
      <c r="I4" s="15">
        <v>644443.19999999995</v>
      </c>
      <c r="J4" s="15">
        <v>650742.6</v>
      </c>
      <c r="K4" s="15">
        <v>689174.9</v>
      </c>
      <c r="L4" s="15">
        <v>787386.5</v>
      </c>
      <c r="M4" s="15">
        <v>826951.8</v>
      </c>
      <c r="T4" s="20" t="s">
        <v>24</v>
      </c>
      <c r="U4" s="21">
        <v>4433038736.32934</v>
      </c>
      <c r="V4" s="21">
        <v>4523365992.2890024</v>
      </c>
      <c r="W4" s="21">
        <v>4703028152.5052223</v>
      </c>
      <c r="X4" s="21">
        <v>4788917261.9539032</v>
      </c>
      <c r="Y4" s="21">
        <v>4908959266.6616478</v>
      </c>
      <c r="Z4" s="21">
        <v>5093724551.3342295</v>
      </c>
      <c r="AA4" s="21">
        <v>5192781154.1405106</v>
      </c>
      <c r="AB4" s="22">
        <v>5484665550.4424438</v>
      </c>
      <c r="AC4" s="22">
        <v>5700018890.5634022</v>
      </c>
      <c r="AD4" s="22">
        <v>5908596895.9541636</v>
      </c>
      <c r="AE4" s="22">
        <v>6051920569.06287</v>
      </c>
      <c r="AF4" s="22">
        <v>6475421306.4784908</v>
      </c>
      <c r="AM4" s="14" t="s">
        <v>23</v>
      </c>
      <c r="AN4" s="29">
        <v>622558.4375</v>
      </c>
      <c r="AO4" s="29">
        <v>641318.625</v>
      </c>
      <c r="AP4" s="29">
        <v>648257.25</v>
      </c>
      <c r="AS4" s="17" t="s">
        <v>20</v>
      </c>
      <c r="AT4" s="18">
        <v>2017</v>
      </c>
      <c r="AU4" s="18">
        <v>2018</v>
      </c>
      <c r="AV4" s="18">
        <v>2019</v>
      </c>
      <c r="AW4" s="18">
        <v>2023</v>
      </c>
      <c r="BE4" s="14"/>
    </row>
    <row r="5" spans="1:69">
      <c r="T5" s="20" t="s">
        <v>25</v>
      </c>
      <c r="U5" s="21">
        <v>7099185087.791646</v>
      </c>
      <c r="V5" s="21">
        <v>6413630785.4345093</v>
      </c>
      <c r="W5" s="21">
        <v>6095044561.4574671</v>
      </c>
      <c r="X5" s="21">
        <v>6362143298.6253862</v>
      </c>
      <c r="Y5" s="21">
        <v>6370961524.7949476</v>
      </c>
      <c r="Z5" s="21">
        <v>7046166908.0754128</v>
      </c>
      <c r="AA5" s="21">
        <v>8006425577.9826784</v>
      </c>
      <c r="AB5" s="22">
        <v>8472045618.372263</v>
      </c>
      <c r="AC5" s="22">
        <v>7742886897.6776266</v>
      </c>
      <c r="AD5" s="22">
        <v>9590945062.0017776</v>
      </c>
      <c r="AE5" s="22">
        <v>8753738555.7264214</v>
      </c>
      <c r="AF5" s="22">
        <v>9781999453.8859406</v>
      </c>
      <c r="AS5" s="20" t="s">
        <v>26</v>
      </c>
      <c r="AT5" s="21">
        <f t="array" ref="AT5">rgdpna[2017]/AN7</f>
        <v>52996.41015625</v>
      </c>
      <c r="AU5" s="21">
        <f t="array" ref="AU5">rgdpna[2018]/AO7</f>
        <v>55129.16015625</v>
      </c>
      <c r="AV5" s="21">
        <f t="array" ref="AV5">rgdpna[2019]/AP7</f>
        <v>56261.5546875</v>
      </c>
      <c r="AW5" s="21"/>
      <c r="BE5" s="13"/>
      <c r="BF5" s="15"/>
      <c r="BG5" s="15"/>
      <c r="BH5" s="15"/>
      <c r="BI5" s="15"/>
      <c r="BJ5" s="15"/>
      <c r="BK5" s="15"/>
      <c r="BL5" s="15"/>
      <c r="BM5" s="15"/>
      <c r="BN5" s="15"/>
      <c r="BO5" s="15"/>
      <c r="BP5" s="15"/>
      <c r="BQ5" s="15"/>
    </row>
    <row r="6" spans="1:69">
      <c r="A6" s="14" t="s">
        <v>27</v>
      </c>
      <c r="B6" t="s">
        <v>5</v>
      </c>
      <c r="C6" t="s">
        <v>6</v>
      </c>
      <c r="D6" t="s">
        <v>7</v>
      </c>
      <c r="E6" t="s">
        <v>8</v>
      </c>
      <c r="F6" t="s">
        <v>9</v>
      </c>
      <c r="G6" t="s">
        <v>10</v>
      </c>
      <c r="H6" t="s">
        <v>11</v>
      </c>
      <c r="I6" t="s">
        <v>12</v>
      </c>
      <c r="J6" t="s">
        <v>13</v>
      </c>
      <c r="K6" t="s">
        <v>14</v>
      </c>
      <c r="L6" t="s">
        <v>15</v>
      </c>
      <c r="M6" t="s">
        <v>16</v>
      </c>
      <c r="T6" s="20" t="s">
        <v>28</v>
      </c>
      <c r="U6" s="21">
        <v>14918107872.48275</v>
      </c>
      <c r="V6" s="21">
        <v>15016462134.005159</v>
      </c>
      <c r="W6" s="21">
        <v>16001640071.216419</v>
      </c>
      <c r="X6" s="21">
        <v>16490529213.990219</v>
      </c>
      <c r="Y6" s="21">
        <v>17132447192.52704</v>
      </c>
      <c r="Z6" s="21">
        <v>18238419471.232769</v>
      </c>
      <c r="AA6" s="21">
        <v>19034172096.366871</v>
      </c>
      <c r="AB6" s="22">
        <v>18925645245.89814</v>
      </c>
      <c r="AC6" s="22">
        <v>18869317832.04348</v>
      </c>
      <c r="AD6" s="22">
        <v>20585018934.757511</v>
      </c>
      <c r="AE6" s="22">
        <v>22935818506.927441</v>
      </c>
      <c r="AF6" s="22">
        <v>21858239209.970821</v>
      </c>
      <c r="AM6" s="14" t="s">
        <v>29</v>
      </c>
      <c r="AN6" t="s">
        <v>10</v>
      </c>
      <c r="AO6" t="s">
        <v>11</v>
      </c>
      <c r="AP6" t="s">
        <v>12</v>
      </c>
      <c r="AS6" t="s">
        <v>30</v>
      </c>
      <c r="AT6" s="21">
        <f>(AN11/AN7)</f>
        <v>409371.53125</v>
      </c>
      <c r="AU6" s="21">
        <f>(AO11/AO7)</f>
        <v>413263.71875</v>
      </c>
      <c r="AV6" s="21">
        <f>(AP11/AP7)</f>
        <v>417039.5625</v>
      </c>
      <c r="AW6" s="21"/>
      <c r="BE6" s="14"/>
      <c r="BF6" s="15"/>
      <c r="BG6" s="15"/>
      <c r="BH6" s="15"/>
      <c r="BI6" s="15"/>
      <c r="BJ6" s="15"/>
      <c r="BK6" s="15"/>
      <c r="BL6" s="15"/>
      <c r="BM6" s="15"/>
      <c r="BN6" s="15"/>
      <c r="BO6" s="15"/>
      <c r="BP6" s="15"/>
      <c r="BQ6" s="15"/>
    </row>
    <row r="7" spans="1:69" ht="16">
      <c r="A7" s="13" t="s">
        <v>20</v>
      </c>
      <c r="B7" s="15">
        <v>96.91</v>
      </c>
      <c r="C7" s="15">
        <v>98.161000000000001</v>
      </c>
      <c r="D7" s="15">
        <v>99.614999999999995</v>
      </c>
      <c r="E7" s="15">
        <v>100</v>
      </c>
      <c r="F7" s="15">
        <v>100.608</v>
      </c>
      <c r="G7" s="15">
        <v>103.334</v>
      </c>
      <c r="H7" s="15">
        <v>107.199</v>
      </c>
      <c r="I7" s="15">
        <v>111.82599999999999</v>
      </c>
      <c r="J7" s="15">
        <v>114.502</v>
      </c>
      <c r="K7" s="15">
        <v>118.27800000000001</v>
      </c>
      <c r="L7" s="15">
        <v>129.74199999999999</v>
      </c>
      <c r="M7" s="15">
        <v>143.58799999999999</v>
      </c>
      <c r="T7" s="20" t="s">
        <v>31</v>
      </c>
      <c r="U7" s="21">
        <v>16171407529.381149</v>
      </c>
      <c r="V7" s="21">
        <v>16150813408.83499</v>
      </c>
      <c r="W7" s="21">
        <v>16635163240.233681</v>
      </c>
      <c r="X7" s="21">
        <v>16803736936.423429</v>
      </c>
      <c r="Y7" s="21">
        <v>17507763464.295921</v>
      </c>
      <c r="Z7" s="21">
        <v>19007043471.67067</v>
      </c>
      <c r="AA7" s="21">
        <v>20209974619.949551</v>
      </c>
      <c r="AB7" s="22">
        <v>20619723893.393509</v>
      </c>
      <c r="AC7" s="22">
        <v>20388210107.104321</v>
      </c>
      <c r="AD7" s="22">
        <v>23474975128.721352</v>
      </c>
      <c r="AE7" s="22">
        <v>25801999079.77879</v>
      </c>
      <c r="AF7" s="22">
        <v>25289959483.024502</v>
      </c>
      <c r="AM7" s="13" t="s">
        <v>20</v>
      </c>
      <c r="AN7" s="16">
        <v>1</v>
      </c>
      <c r="AO7" s="16">
        <v>1</v>
      </c>
      <c r="AP7" s="16">
        <v>1</v>
      </c>
      <c r="AS7" t="s">
        <v>32</v>
      </c>
      <c r="AT7" s="37">
        <f>AN15</f>
        <v>0.237374842166901</v>
      </c>
      <c r="AU7" s="37">
        <f>AO15</f>
        <v>0.26153558492660522</v>
      </c>
      <c r="AV7" s="37">
        <f>AP15</f>
        <v>0.26207756996154791</v>
      </c>
      <c r="AW7" s="37"/>
    </row>
    <row r="8" spans="1:69">
      <c r="A8" s="14" t="s">
        <v>23</v>
      </c>
      <c r="B8" s="15">
        <v>90.403999999999996</v>
      </c>
      <c r="C8" s="15">
        <v>88.433000000000007</v>
      </c>
      <c r="D8" s="15">
        <v>89.048000000000002</v>
      </c>
      <c r="E8" s="15">
        <v>100</v>
      </c>
      <c r="F8" s="15">
        <v>97.382999999999996</v>
      </c>
      <c r="G8" s="15">
        <v>95.147999999999996</v>
      </c>
      <c r="H8" s="15">
        <v>92.281000000000006</v>
      </c>
      <c r="I8" s="15">
        <v>95.715999999999994</v>
      </c>
      <c r="J8" s="15">
        <v>98.766999999999996</v>
      </c>
      <c r="K8" s="15">
        <v>99.090999999999994</v>
      </c>
      <c r="L8" s="15">
        <v>109.867</v>
      </c>
      <c r="M8" s="15">
        <v>114.605</v>
      </c>
      <c r="T8" s="20" t="s">
        <v>33</v>
      </c>
      <c r="U8" s="21">
        <v>24352854611.118839</v>
      </c>
      <c r="V8" s="21">
        <v>24863312429.905548</v>
      </c>
      <c r="W8" s="21">
        <v>25384188823.064011</v>
      </c>
      <c r="X8" s="21">
        <v>26344565876.890221</v>
      </c>
      <c r="Y8" s="21">
        <v>27016796481.332119</v>
      </c>
      <c r="Z8" s="21">
        <v>27935083541.205021</v>
      </c>
      <c r="AA8" s="21">
        <v>29139005429.854778</v>
      </c>
      <c r="AB8" s="22">
        <v>29335802338.525879</v>
      </c>
      <c r="AC8" s="22">
        <v>28318076614.162281</v>
      </c>
      <c r="AD8" s="22">
        <v>30285399384.922241</v>
      </c>
      <c r="AE8" s="22">
        <v>30834377440.595139</v>
      </c>
      <c r="AF8" s="22">
        <v>31360656918.825859</v>
      </c>
      <c r="AM8" s="14" t="s">
        <v>23</v>
      </c>
      <c r="AN8" s="30">
        <v>5</v>
      </c>
      <c r="AO8" s="30">
        <v>5</v>
      </c>
      <c r="AP8" s="30">
        <v>5</v>
      </c>
      <c r="AS8" t="s">
        <v>34</v>
      </c>
      <c r="AT8" s="21">
        <f>AN19</f>
        <v>3.1271195411682129</v>
      </c>
      <c r="AU8" s="21">
        <f>AO19</f>
        <v>3.1416902542114258</v>
      </c>
      <c r="AV8" s="21">
        <f>AP19</f>
        <v>3.156420230865479</v>
      </c>
      <c r="AW8" s="21"/>
      <c r="BE8" s="14"/>
    </row>
    <row r="9" spans="1:69">
      <c r="T9" s="20"/>
      <c r="U9" s="21"/>
      <c r="V9" s="21"/>
      <c r="W9" s="21"/>
      <c r="X9" s="21"/>
      <c r="Y9" s="21"/>
      <c r="Z9" s="21"/>
      <c r="AA9" s="21"/>
      <c r="AB9" s="22"/>
      <c r="AC9" s="22"/>
      <c r="AD9" s="22"/>
      <c r="AE9" s="22"/>
      <c r="AF9" s="22"/>
      <c r="AS9" t="s">
        <v>35</v>
      </c>
      <c r="AT9" s="36">
        <f>AN23</f>
        <v>3.17288525402546E-2</v>
      </c>
      <c r="AU9" s="36">
        <f>AO23</f>
        <v>3.2216090708971017E-2</v>
      </c>
      <c r="AV9" s="36">
        <f>AP23</f>
        <v>3.2754700630903237E-2</v>
      </c>
      <c r="AW9" s="36"/>
      <c r="BE9" s="13"/>
      <c r="BF9" s="15"/>
      <c r="BG9" s="15"/>
      <c r="BH9" s="15"/>
      <c r="BI9" s="15"/>
      <c r="BJ9" s="15"/>
      <c r="BK9" s="15"/>
      <c r="BL9" s="15"/>
      <c r="BM9" s="15"/>
      <c r="BN9" s="15"/>
      <c r="BO9" s="15"/>
      <c r="BP9" s="15"/>
      <c r="BQ9" s="15"/>
    </row>
    <row r="10" spans="1:69">
      <c r="A10" s="14" t="s">
        <v>36</v>
      </c>
      <c r="B10" t="s">
        <v>5</v>
      </c>
      <c r="C10" t="s">
        <v>6</v>
      </c>
      <c r="D10" t="s">
        <v>7</v>
      </c>
      <c r="E10" t="s">
        <v>8</v>
      </c>
      <c r="F10" t="s">
        <v>9</v>
      </c>
      <c r="G10" t="s">
        <v>10</v>
      </c>
      <c r="H10" t="s">
        <v>11</v>
      </c>
      <c r="I10" t="s">
        <v>12</v>
      </c>
      <c r="J10" t="s">
        <v>13</v>
      </c>
      <c r="K10" t="s">
        <v>14</v>
      </c>
      <c r="L10" t="s">
        <v>15</v>
      </c>
      <c r="M10" t="s">
        <v>16</v>
      </c>
      <c r="T10" s="20"/>
      <c r="U10" s="21"/>
      <c r="V10" s="21"/>
      <c r="W10" s="21"/>
      <c r="X10" s="21"/>
      <c r="Y10" s="21"/>
      <c r="Z10" s="21"/>
      <c r="AA10" s="21"/>
      <c r="AB10" s="22"/>
      <c r="AC10" s="22"/>
      <c r="AD10" s="22"/>
      <c r="AE10" s="22"/>
      <c r="AF10" s="22"/>
      <c r="AM10" s="14" t="s">
        <v>37</v>
      </c>
      <c r="AN10" t="s">
        <v>10</v>
      </c>
      <c r="AO10" t="s">
        <v>11</v>
      </c>
      <c r="AP10" t="s">
        <v>12</v>
      </c>
      <c r="AS10" t="s">
        <v>38</v>
      </c>
      <c r="AT10" s="32">
        <f>((AO39-AN39)/AN39)</f>
        <v>-1.1735500687344053E-2</v>
      </c>
      <c r="AU10" s="32">
        <f>((AP39-AO39)/AO39)</f>
        <v>-1.1602703504746384E-2</v>
      </c>
      <c r="AV10" s="32">
        <f>((AQ39-AP39)/AP39)</f>
        <v>-1.1260804611350227E-2</v>
      </c>
      <c r="AW10" s="32"/>
      <c r="BE10" s="14"/>
      <c r="BF10" s="15"/>
      <c r="BG10" s="15"/>
      <c r="BH10" s="15"/>
      <c r="BI10" s="15"/>
      <c r="BJ10" s="15"/>
      <c r="BK10" s="15"/>
      <c r="BL10" s="15"/>
      <c r="BM10" s="15"/>
      <c r="BN10" s="15"/>
      <c r="BO10" s="15"/>
      <c r="BP10" s="15"/>
      <c r="BQ10" s="15"/>
    </row>
    <row r="11" spans="1:69" ht="16">
      <c r="A11" s="13" t="s">
        <v>20</v>
      </c>
      <c r="B11" s="15">
        <v>99.09</v>
      </c>
      <c r="C11" s="15">
        <v>99.11</v>
      </c>
      <c r="D11" s="15">
        <v>99.79</v>
      </c>
      <c r="E11" s="15">
        <v>100</v>
      </c>
      <c r="F11" s="15">
        <v>100.1</v>
      </c>
      <c r="G11" s="15">
        <v>103</v>
      </c>
      <c r="H11" s="15">
        <v>105.63</v>
      </c>
      <c r="I11" s="15">
        <v>108.53</v>
      </c>
      <c r="J11" s="15">
        <v>108.62</v>
      </c>
      <c r="K11" s="15">
        <v>112.14</v>
      </c>
      <c r="L11" s="15">
        <v>131.47</v>
      </c>
      <c r="M11" s="15">
        <v>143.38</v>
      </c>
      <c r="T11" s="17" t="s">
        <v>39</v>
      </c>
      <c r="U11" s="18">
        <v>2012</v>
      </c>
      <c r="V11" s="18">
        <v>2013</v>
      </c>
      <c r="W11" s="18">
        <v>2014</v>
      </c>
      <c r="X11" s="18">
        <v>2015</v>
      </c>
      <c r="Y11" s="18">
        <v>2016</v>
      </c>
      <c r="Z11" s="18">
        <v>2017</v>
      </c>
      <c r="AA11" s="18">
        <v>2018</v>
      </c>
      <c r="AB11" s="18">
        <v>2019</v>
      </c>
      <c r="AC11" s="18">
        <v>2020</v>
      </c>
      <c r="AD11" s="18">
        <v>2021</v>
      </c>
      <c r="AE11" s="18">
        <v>2022</v>
      </c>
      <c r="AF11" s="19">
        <v>2023</v>
      </c>
      <c r="AM11" s="13" t="s">
        <v>20</v>
      </c>
      <c r="AN11" s="28">
        <v>409371.53125</v>
      </c>
      <c r="AO11" s="28">
        <v>413263.71875</v>
      </c>
      <c r="AP11" s="28">
        <v>417039.5625</v>
      </c>
      <c r="AS11" t="s">
        <v>40</v>
      </c>
      <c r="AT11" s="38">
        <v>78.569999999999993</v>
      </c>
      <c r="AU11" s="38">
        <v>78.569999999999993</v>
      </c>
      <c r="AV11" s="39">
        <v>80</v>
      </c>
      <c r="AW11" s="39"/>
    </row>
    <row r="12" spans="1:69">
      <c r="A12" s="14" t="s">
        <v>23</v>
      </c>
      <c r="B12" s="15">
        <v>100.76</v>
      </c>
      <c r="C12" s="15">
        <v>100.83</v>
      </c>
      <c r="D12" s="15">
        <v>100.84</v>
      </c>
      <c r="E12" s="15">
        <v>100</v>
      </c>
      <c r="F12" s="15">
        <v>99.47</v>
      </c>
      <c r="G12" s="15">
        <v>100.11</v>
      </c>
      <c r="H12" s="15">
        <v>101.03</v>
      </c>
      <c r="I12" s="15">
        <v>101.41</v>
      </c>
      <c r="J12" s="15">
        <v>100.56</v>
      </c>
      <c r="K12" s="15">
        <v>101.04</v>
      </c>
      <c r="L12" s="15">
        <v>103.74</v>
      </c>
      <c r="M12" s="15">
        <v>106.1</v>
      </c>
      <c r="T12" s="20" t="s">
        <v>21</v>
      </c>
      <c r="U12" s="21">
        <v>346809352267.992</v>
      </c>
      <c r="V12" s="21">
        <v>354645236839.48273</v>
      </c>
      <c r="W12" s="21">
        <v>358157909936.54907</v>
      </c>
      <c r="X12" s="21">
        <v>366967376364.56122</v>
      </c>
      <c r="Y12" s="21">
        <v>372965030134.47498</v>
      </c>
      <c r="Z12" s="21">
        <v>377265548940.86359</v>
      </c>
      <c r="AA12" s="21">
        <v>379765339751.42383</v>
      </c>
      <c r="AB12" s="22">
        <v>384374884711.31927</v>
      </c>
      <c r="AC12" s="22">
        <v>371438065762.62122</v>
      </c>
      <c r="AD12" s="22">
        <v>379747543271.48218</v>
      </c>
      <c r="AE12" s="22">
        <v>396001502637.50311</v>
      </c>
      <c r="AF12" s="22">
        <v>401947874240.39661</v>
      </c>
      <c r="AM12" s="14" t="s">
        <v>23</v>
      </c>
      <c r="AN12" s="28">
        <v>2707659</v>
      </c>
      <c r="AO12" s="28">
        <v>2760667</v>
      </c>
      <c r="AP12" s="28">
        <v>2813310.25</v>
      </c>
      <c r="AS12" t="s">
        <v>41</v>
      </c>
      <c r="AW12">
        <v>60</v>
      </c>
      <c r="BE12" s="14"/>
    </row>
    <row r="13" spans="1:69">
      <c r="N13" t="s">
        <v>42</v>
      </c>
      <c r="T13" s="20" t="s">
        <v>24</v>
      </c>
      <c r="U13" s="21">
        <v>76534050336.09169</v>
      </c>
      <c r="V13" s="21">
        <v>77911152074.701065</v>
      </c>
      <c r="W13" s="21">
        <v>79539180335.857132</v>
      </c>
      <c r="X13" s="21">
        <v>80084350929.605011</v>
      </c>
      <c r="Y13" s="21">
        <v>80323258307.906677</v>
      </c>
      <c r="Z13" s="21">
        <v>81088911151.076416</v>
      </c>
      <c r="AA13" s="21">
        <v>81736692837.876953</v>
      </c>
      <c r="AB13" s="22">
        <v>82412835424.048431</v>
      </c>
      <c r="AC13" s="22">
        <v>85583471544.27269</v>
      </c>
      <c r="AD13" s="22">
        <v>88160341988.281113</v>
      </c>
      <c r="AE13" s="22">
        <v>87096607717.664261</v>
      </c>
      <c r="AF13" s="22">
        <v>88537772419.888947</v>
      </c>
      <c r="BE13" s="13"/>
      <c r="BF13" s="15"/>
      <c r="BG13" s="15"/>
      <c r="BH13" s="15"/>
      <c r="BI13" s="15"/>
      <c r="BJ13" s="15"/>
      <c r="BK13" s="15"/>
      <c r="BL13" s="15"/>
      <c r="BM13" s="15"/>
      <c r="BN13" s="15"/>
      <c r="BO13" s="15"/>
      <c r="BP13" s="15"/>
      <c r="BQ13" s="15"/>
    </row>
    <row r="14" spans="1:69">
      <c r="A14" s="14" t="s">
        <v>43</v>
      </c>
      <c r="B14" t="s">
        <v>5</v>
      </c>
      <c r="C14" t="s">
        <v>6</v>
      </c>
      <c r="D14" t="s">
        <v>7</v>
      </c>
      <c r="E14" t="s">
        <v>8</v>
      </c>
      <c r="F14" t="s">
        <v>9</v>
      </c>
      <c r="G14" t="s">
        <v>10</v>
      </c>
      <c r="H14" t="s">
        <v>11</v>
      </c>
      <c r="I14" t="s">
        <v>12</v>
      </c>
      <c r="J14" t="s">
        <v>13</v>
      </c>
      <c r="K14" t="s">
        <v>14</v>
      </c>
      <c r="L14" t="s">
        <v>15</v>
      </c>
      <c r="M14" t="s">
        <v>16</v>
      </c>
      <c r="N14" t="s">
        <v>44</v>
      </c>
      <c r="T14" s="20" t="s">
        <v>25</v>
      </c>
      <c r="U14" s="21">
        <v>178225544291.9649</v>
      </c>
      <c r="V14" s="21">
        <v>164763404469.62891</v>
      </c>
      <c r="W14" s="21">
        <v>171615659192.47839</v>
      </c>
      <c r="X14" s="21">
        <v>174049186248.595</v>
      </c>
      <c r="Y14" s="21">
        <v>175247080437.1601</v>
      </c>
      <c r="Z14" s="21">
        <v>179879902033.19571</v>
      </c>
      <c r="AA14" s="21">
        <v>184072067739.8663</v>
      </c>
      <c r="AB14" s="22">
        <v>191426546462.63721</v>
      </c>
      <c r="AC14" s="22">
        <v>197773905687.35031</v>
      </c>
      <c r="AD14" s="22">
        <v>188337329212.16849</v>
      </c>
      <c r="AE14" s="22">
        <v>189262383527.017</v>
      </c>
      <c r="AF14" s="22">
        <v>196049989239.96829</v>
      </c>
      <c r="AM14" s="14" t="s">
        <v>45</v>
      </c>
      <c r="AN14" t="s">
        <v>10</v>
      </c>
      <c r="AO14" t="s">
        <v>11</v>
      </c>
      <c r="AP14" t="s">
        <v>12</v>
      </c>
      <c r="AS14" s="17" t="s">
        <v>23</v>
      </c>
      <c r="AT14" s="18">
        <v>2017</v>
      </c>
      <c r="AU14" s="18">
        <v>2018</v>
      </c>
      <c r="AV14" s="18">
        <v>2019</v>
      </c>
      <c r="AW14" s="18">
        <v>2023</v>
      </c>
      <c r="BE14" s="14"/>
      <c r="BF14" s="15"/>
      <c r="BG14" s="15"/>
      <c r="BH14" s="15"/>
      <c r="BI14" s="15"/>
      <c r="BJ14" s="15"/>
      <c r="BK14" s="15"/>
      <c r="BL14" s="15"/>
      <c r="BM14" s="15"/>
      <c r="BN14" s="15"/>
      <c r="BO14" s="15"/>
      <c r="BP14" s="15"/>
      <c r="BQ14" s="15"/>
    </row>
    <row r="15" spans="1:69" ht="16">
      <c r="A15" s="13" t="s">
        <v>20</v>
      </c>
      <c r="B15" s="15">
        <v>15.1</v>
      </c>
      <c r="C15" s="15">
        <v>11.9</v>
      </c>
      <c r="D15" s="15">
        <v>10.9</v>
      </c>
      <c r="E15" s="15">
        <v>9.9</v>
      </c>
      <c r="F15" s="15">
        <v>9.6999999999999993</v>
      </c>
      <c r="G15" s="15">
        <v>8.6999999999999993</v>
      </c>
      <c r="H15" s="15">
        <v>7.4</v>
      </c>
      <c r="I15" s="15">
        <v>6.3</v>
      </c>
      <c r="J15" s="15">
        <v>8.1</v>
      </c>
      <c r="K15" s="15">
        <v>7.6</v>
      </c>
      <c r="L15" s="15">
        <v>6.9</v>
      </c>
      <c r="M15" s="15">
        <v>6.5</v>
      </c>
      <c r="N15" s="15">
        <f>AVERAGE(C15:M15)</f>
        <v>8.536363636363637</v>
      </c>
      <c r="T15" s="20" t="s">
        <v>28</v>
      </c>
      <c r="U15" s="21">
        <v>392818637477.02472</v>
      </c>
      <c r="V15" s="21">
        <v>448488741874.30957</v>
      </c>
      <c r="W15" s="21">
        <v>425910692646.09167</v>
      </c>
      <c r="X15" s="21">
        <v>443048390064.01727</v>
      </c>
      <c r="Y15" s="21">
        <v>469532418025.00519</v>
      </c>
      <c r="Z15" s="21">
        <v>467762504218.04041</v>
      </c>
      <c r="AA15" s="21">
        <v>483539498802.38599</v>
      </c>
      <c r="AB15" s="22">
        <v>480260186425.7168</v>
      </c>
      <c r="AC15" s="22">
        <v>455093628954.96503</v>
      </c>
      <c r="AD15" s="22">
        <v>517647963965.63733</v>
      </c>
      <c r="AE15" s="22">
        <v>549244218085.6698</v>
      </c>
      <c r="AF15" s="22">
        <v>553124121915.20789</v>
      </c>
      <c r="AM15" s="13" t="s">
        <v>20</v>
      </c>
      <c r="AN15" s="28">
        <v>0.237374842166901</v>
      </c>
      <c r="AO15" s="28">
        <v>0.26153558492660522</v>
      </c>
      <c r="AP15" s="28">
        <v>0.26207756996154791</v>
      </c>
      <c r="AS15" s="20" t="s">
        <v>26</v>
      </c>
      <c r="AT15" s="21">
        <f>(AN4/AN8)</f>
        <v>124511.6875</v>
      </c>
      <c r="AU15" s="21">
        <f>(AO4/AO8)</f>
        <v>128263.72500000001</v>
      </c>
      <c r="AV15" s="21">
        <f>(AP4/AP8)</f>
        <v>129651.45</v>
      </c>
      <c r="AW15" s="21"/>
    </row>
    <row r="16" spans="1:69">
      <c r="A16" s="14" t="s">
        <v>23</v>
      </c>
      <c r="B16" s="15">
        <v>4.5</v>
      </c>
      <c r="C16" s="15">
        <v>4.8</v>
      </c>
      <c r="D16" s="15">
        <v>4.9000000000000004</v>
      </c>
      <c r="E16" s="15">
        <v>4.8</v>
      </c>
      <c r="F16" s="15">
        <v>5</v>
      </c>
      <c r="G16" s="15">
        <v>4.8</v>
      </c>
      <c r="H16" s="15">
        <v>4.7</v>
      </c>
      <c r="I16" s="15">
        <v>4.4000000000000004</v>
      </c>
      <c r="J16" s="15">
        <v>4.8</v>
      </c>
      <c r="K16" s="15">
        <v>5.0999999999999996</v>
      </c>
      <c r="L16" s="15">
        <v>4.0999999999999996</v>
      </c>
      <c r="M16" s="15">
        <v>4.0999999999999996</v>
      </c>
      <c r="N16" s="15">
        <f>AVERAGE(C16:M16)</f>
        <v>4.6818181818181817</v>
      </c>
      <c r="T16" s="20" t="s">
        <v>31</v>
      </c>
      <c r="U16" s="21">
        <v>336826178529.65387</v>
      </c>
      <c r="V16" s="21">
        <v>378150391544.53912</v>
      </c>
      <c r="W16" s="21">
        <v>352573230720.9361</v>
      </c>
      <c r="X16" s="21">
        <v>370031118266.23969</v>
      </c>
      <c r="Y16" s="21">
        <v>389590449325.82452</v>
      </c>
      <c r="Z16" s="21">
        <v>388081909043.76141</v>
      </c>
      <c r="AA16" s="21">
        <v>390994707659.47528</v>
      </c>
      <c r="AB16" s="22">
        <v>392083161861.06732</v>
      </c>
      <c r="AC16" s="22">
        <v>379614332041.93158</v>
      </c>
      <c r="AD16" s="22">
        <v>401756267239.47693</v>
      </c>
      <c r="AE16" s="22">
        <v>425010860142.27979</v>
      </c>
      <c r="AF16" s="22">
        <v>436488621273.52032</v>
      </c>
      <c r="AM16" s="14" t="s">
        <v>23</v>
      </c>
      <c r="AN16" s="28">
        <v>0.31219255924224848</v>
      </c>
      <c r="AO16" s="28">
        <v>0.30934610962867742</v>
      </c>
      <c r="AP16" s="28">
        <v>0.30598610639572138</v>
      </c>
      <c r="AS16" t="s">
        <v>30</v>
      </c>
      <c r="AT16" s="21">
        <f>(AN12/AN8)</f>
        <v>541531.80000000005</v>
      </c>
      <c r="AU16" s="21">
        <f>(AO12/AO8)</f>
        <v>552133.4</v>
      </c>
      <c r="AV16" s="21">
        <f>(AP12/AP8)</f>
        <v>562662.05000000005</v>
      </c>
      <c r="AW16" s="21"/>
      <c r="BE16" s="14"/>
    </row>
    <row r="17" spans="1:70">
      <c r="A17" s="15" t="s">
        <v>46</v>
      </c>
      <c r="B17" s="15"/>
      <c r="C17" s="15"/>
      <c r="D17" s="15"/>
      <c r="E17" s="15"/>
      <c r="F17" s="15"/>
      <c r="G17" s="15"/>
      <c r="H17" s="15"/>
      <c r="I17" s="15"/>
      <c r="J17" s="15"/>
      <c r="K17" s="15"/>
      <c r="L17" s="15"/>
      <c r="M17" s="15"/>
      <c r="N17" s="15"/>
      <c r="T17" s="20" t="s">
        <v>33</v>
      </c>
      <c r="U17" s="21">
        <v>655461803595.11926</v>
      </c>
      <c r="V17" s="21">
        <v>667208623354.6449</v>
      </c>
      <c r="W17" s="21">
        <v>682887233860.61646</v>
      </c>
      <c r="X17" s="21">
        <v>694118186379.62781</v>
      </c>
      <c r="Y17" s="21">
        <v>708477337578.72241</v>
      </c>
      <c r="Z17" s="21">
        <v>718132463597.49951</v>
      </c>
      <c r="AA17" s="21">
        <v>738674253452.24878</v>
      </c>
      <c r="AB17" s="22">
        <v>747109782866.38892</v>
      </c>
      <c r="AC17" s="22">
        <v>731108654673.33411</v>
      </c>
      <c r="AD17" s="22">
        <v>771755519758.62915</v>
      </c>
      <c r="AE17" s="22">
        <v>795248228253.79822</v>
      </c>
      <c r="AF17" s="22">
        <v>800682382936.37561</v>
      </c>
      <c r="AS17" t="s">
        <v>32</v>
      </c>
      <c r="AT17" s="35">
        <f>AN16</f>
        <v>0.31219255924224848</v>
      </c>
      <c r="AU17" s="35">
        <f>AO16</f>
        <v>0.30934610962867742</v>
      </c>
      <c r="AV17" s="35">
        <f>AP16</f>
        <v>0.30598610639572138</v>
      </c>
      <c r="AW17" s="35"/>
      <c r="BE17" s="13"/>
      <c r="BF17" s="15"/>
      <c r="BG17" s="15"/>
      <c r="BH17" s="15"/>
      <c r="BI17" s="15"/>
      <c r="BJ17" s="15"/>
      <c r="BK17" s="15"/>
      <c r="BL17" s="15"/>
      <c r="BM17" s="15"/>
      <c r="BN17" s="15"/>
      <c r="BO17" s="15"/>
      <c r="BP17" s="15"/>
      <c r="BQ17" s="15"/>
      <c r="BR17" s="15"/>
    </row>
    <row r="18" spans="1:70">
      <c r="A18" s="14" t="s">
        <v>47</v>
      </c>
      <c r="B18" t="s">
        <v>5</v>
      </c>
      <c r="C18" t="s">
        <v>6</v>
      </c>
      <c r="D18" t="s">
        <v>7</v>
      </c>
      <c r="E18" t="s">
        <v>8</v>
      </c>
      <c r="F18" t="s">
        <v>9</v>
      </c>
      <c r="G18" t="s">
        <v>10</v>
      </c>
      <c r="H18" t="s">
        <v>11</v>
      </c>
      <c r="I18" t="s">
        <v>12</v>
      </c>
      <c r="J18" t="s">
        <v>13</v>
      </c>
      <c r="K18" t="s">
        <v>14</v>
      </c>
      <c r="L18" t="s">
        <v>15</v>
      </c>
      <c r="M18" t="s">
        <v>16</v>
      </c>
      <c r="AM18" s="14" t="s">
        <v>48</v>
      </c>
      <c r="AN18" t="s">
        <v>10</v>
      </c>
      <c r="AO18" t="s">
        <v>11</v>
      </c>
      <c r="AP18" t="s">
        <v>12</v>
      </c>
      <c r="AS18" t="s">
        <v>34</v>
      </c>
      <c r="AT18" s="21">
        <f>AN20</f>
        <v>3.6875019073486328</v>
      </c>
      <c r="AU18" s="21">
        <f>AO20</f>
        <v>3.695082426071167</v>
      </c>
      <c r="AV18" s="21">
        <f>AP20</f>
        <v>3.7026784420013432</v>
      </c>
      <c r="AW18" s="21"/>
      <c r="BE18" s="14"/>
      <c r="BF18" s="15"/>
      <c r="BG18" s="15"/>
      <c r="BH18" s="15"/>
      <c r="BI18" s="15"/>
      <c r="BJ18" s="15"/>
      <c r="BK18" s="15"/>
      <c r="BL18" s="15"/>
      <c r="BM18" s="15"/>
      <c r="BN18" s="15"/>
      <c r="BO18" s="15"/>
      <c r="BP18" s="15"/>
      <c r="BQ18" s="15"/>
      <c r="BR18" s="15"/>
    </row>
    <row r="19" spans="1:70" ht="16">
      <c r="A19" s="13" t="s">
        <v>20</v>
      </c>
      <c r="B19" s="16">
        <f t="shared" ref="B19:M19" si="0">B3/B7*100</f>
        <v>21949.128056960068</v>
      </c>
      <c r="C19" s="16">
        <f t="shared" si="0"/>
        <v>22409.103411741933</v>
      </c>
      <c r="D19" s="16">
        <f t="shared" si="0"/>
        <v>22878.58254278974</v>
      </c>
      <c r="E19" s="16">
        <f t="shared" si="0"/>
        <v>23744.3</v>
      </c>
      <c r="F19" s="16">
        <f t="shared" si="0"/>
        <v>24350.151081424938</v>
      </c>
      <c r="G19" s="16">
        <f t="shared" si="0"/>
        <v>25177.676273056302</v>
      </c>
      <c r="H19" s="16">
        <f t="shared" si="0"/>
        <v>26262.744988292805</v>
      </c>
      <c r="I19" s="16">
        <f t="shared" si="0"/>
        <v>26440.183857063654</v>
      </c>
      <c r="J19" s="16">
        <f t="shared" si="0"/>
        <v>25522.960297636724</v>
      </c>
      <c r="K19" s="16">
        <f t="shared" si="0"/>
        <v>27294.847731615344</v>
      </c>
      <c r="L19" s="16">
        <f t="shared" si="0"/>
        <v>27815.74201106812</v>
      </c>
      <c r="M19" s="16">
        <f t="shared" si="0"/>
        <v>27553.973869682704</v>
      </c>
      <c r="AM19" s="13" t="s">
        <v>20</v>
      </c>
      <c r="AN19" s="28">
        <v>3.1271195411682129</v>
      </c>
      <c r="AO19" s="28">
        <v>3.1416902542114258</v>
      </c>
      <c r="AP19" s="28">
        <v>3.156420230865479</v>
      </c>
      <c r="AS19" t="s">
        <v>35</v>
      </c>
      <c r="AT19" s="34">
        <f>AN24</f>
        <v>5.3406015038490302E-2</v>
      </c>
      <c r="AU19" s="34">
        <f>AO24</f>
        <v>5.399671196937561E-2</v>
      </c>
      <c r="AV19" s="34">
        <f>AP24</f>
        <v>5.4428640753030777E-2</v>
      </c>
      <c r="AW19" s="34"/>
    </row>
    <row r="20" spans="1:70">
      <c r="A20" s="14" t="s">
        <v>23</v>
      </c>
      <c r="B20" s="16">
        <f t="shared" ref="B20:M20" si="1">B4/B8*100</f>
        <v>590695.9869032345</v>
      </c>
      <c r="C20" s="16">
        <f t="shared" si="1"/>
        <v>601279.04741442658</v>
      </c>
      <c r="D20" s="16">
        <f t="shared" si="1"/>
        <v>615414.72015092988</v>
      </c>
      <c r="E20" s="16">
        <f t="shared" si="1"/>
        <v>625532.69999999995</v>
      </c>
      <c r="F20" s="16">
        <f t="shared" si="1"/>
        <v>638473.96362814866</v>
      </c>
      <c r="G20" s="16">
        <f t="shared" si="1"/>
        <v>647177.34476815071</v>
      </c>
      <c r="H20" s="16">
        <f t="shared" si="1"/>
        <v>665688.92838179041</v>
      </c>
      <c r="I20" s="16">
        <f t="shared" si="1"/>
        <v>673286.80680346023</v>
      </c>
      <c r="J20" s="16">
        <f t="shared" si="1"/>
        <v>658866.42299553496</v>
      </c>
      <c r="K20" s="16">
        <f t="shared" si="1"/>
        <v>695496.96743397485</v>
      </c>
      <c r="L20" s="16">
        <f t="shared" si="1"/>
        <v>716672.4312122839</v>
      </c>
      <c r="M20" s="16">
        <f t="shared" si="1"/>
        <v>721566.94734086655</v>
      </c>
      <c r="S20" t="s">
        <v>49</v>
      </c>
      <c r="T20" s="17" t="s">
        <v>50</v>
      </c>
      <c r="U20" s="18">
        <v>2012</v>
      </c>
      <c r="V20" s="18">
        <v>2013</v>
      </c>
      <c r="W20" s="18">
        <v>2014</v>
      </c>
      <c r="X20" s="18">
        <v>2015</v>
      </c>
      <c r="Y20" s="18">
        <v>2016</v>
      </c>
      <c r="Z20" s="18">
        <v>2017</v>
      </c>
      <c r="AA20" s="18">
        <v>2018</v>
      </c>
      <c r="AB20" s="18">
        <v>2019</v>
      </c>
      <c r="AC20" s="18">
        <v>2020</v>
      </c>
      <c r="AD20" s="18">
        <v>2021</v>
      </c>
      <c r="AE20" s="18">
        <v>2022</v>
      </c>
      <c r="AF20" s="19">
        <v>2023</v>
      </c>
      <c r="AG20" s="19" t="s">
        <v>51</v>
      </c>
      <c r="AM20" s="14" t="s">
        <v>23</v>
      </c>
      <c r="AN20" s="28">
        <v>3.6875019073486328</v>
      </c>
      <c r="AO20" s="28">
        <v>3.695082426071167</v>
      </c>
      <c r="AP20" s="28">
        <v>3.7026784420013432</v>
      </c>
      <c r="AS20" t="s">
        <v>38</v>
      </c>
      <c r="AT20" s="32">
        <f>((AO40-AN40)/AN40)</f>
        <v>9.0558176172866427E-3</v>
      </c>
      <c r="AU20" s="32">
        <f>((AP40-AO40)/AO40)</f>
        <v>8.2555130180407277E-3</v>
      </c>
      <c r="AV20" s="32">
        <f>((AQ40-AP40)/AP40)</f>
        <v>7.712526410130616E-3</v>
      </c>
      <c r="AW20" s="32"/>
      <c r="BE20" s="14"/>
    </row>
    <row r="21" spans="1:70">
      <c r="N21" t="s">
        <v>42</v>
      </c>
      <c r="T21" s="23" t="s">
        <v>20</v>
      </c>
      <c r="U21" s="24"/>
      <c r="V21" s="24">
        <f t="shared" ref="V21:AF21" si="2">(V3/U3-1)*100</f>
        <v>6.6683633171441326</v>
      </c>
      <c r="W21" s="24">
        <f t="shared" si="2"/>
        <v>0.92035831142938118</v>
      </c>
      <c r="X21" s="24">
        <f t="shared" si="2"/>
        <v>1.813849024248837</v>
      </c>
      <c r="Y21" s="24">
        <f t="shared" si="2"/>
        <v>3.9029819454365011</v>
      </c>
      <c r="Z21" s="24">
        <f t="shared" si="2"/>
        <v>2.814213112143249</v>
      </c>
      <c r="AA21" s="24">
        <f t="shared" si="2"/>
        <v>3.6148972541506286</v>
      </c>
      <c r="AB21" s="24">
        <f t="shared" si="2"/>
        <v>-0.12189284616893614</v>
      </c>
      <c r="AC21" s="24">
        <f t="shared" si="2"/>
        <v>-4.789593853621021</v>
      </c>
      <c r="AD21" s="24">
        <f t="shared" si="2"/>
        <v>8.0518710981176014</v>
      </c>
      <c r="AE21" s="24">
        <f t="shared" si="2"/>
        <v>5.0894947875632424</v>
      </c>
      <c r="AF21" s="24">
        <f t="shared" si="2"/>
        <v>-1.0284298634402167</v>
      </c>
      <c r="AG21" s="24">
        <f>_xlfn.STDEV.S(V21:AF21)</f>
        <v>3.6553190758778631</v>
      </c>
      <c r="AS21" t="s">
        <v>40</v>
      </c>
      <c r="AT21" s="42">
        <v>99.047600000000003</v>
      </c>
      <c r="AU21" s="42">
        <v>99.047600000000003</v>
      </c>
      <c r="AV21" s="43">
        <v>99.047600000000003</v>
      </c>
      <c r="AW21" s="43"/>
      <c r="BE21" s="13"/>
      <c r="BF21" s="16"/>
      <c r="BG21" s="16"/>
      <c r="BH21" s="16"/>
      <c r="BI21" s="16"/>
      <c r="BJ21" s="16"/>
      <c r="BK21" s="16"/>
      <c r="BL21" s="16"/>
      <c r="BM21" s="16"/>
      <c r="BN21" s="16"/>
      <c r="BO21" s="16"/>
      <c r="BP21" s="16"/>
      <c r="BQ21" s="16"/>
    </row>
    <row r="22" spans="1:70">
      <c r="A22" s="14" t="s">
        <v>52</v>
      </c>
      <c r="B22" t="s">
        <v>5</v>
      </c>
      <c r="C22" t="s">
        <v>6</v>
      </c>
      <c r="D22" t="s">
        <v>7</v>
      </c>
      <c r="E22" t="s">
        <v>8</v>
      </c>
      <c r="F22" t="s">
        <v>9</v>
      </c>
      <c r="G22" t="s">
        <v>10</v>
      </c>
      <c r="H22" t="s">
        <v>11</v>
      </c>
      <c r="I22" t="s">
        <v>12</v>
      </c>
      <c r="J22" t="s">
        <v>13</v>
      </c>
      <c r="K22" t="s">
        <v>14</v>
      </c>
      <c r="L22" t="s">
        <v>15</v>
      </c>
      <c r="M22" t="s">
        <v>16</v>
      </c>
      <c r="N22" t="s">
        <v>44</v>
      </c>
      <c r="T22" s="23" t="s">
        <v>23</v>
      </c>
      <c r="U22" s="24"/>
      <c r="V22" s="24">
        <f t="shared" ref="V22:AF22" si="3">(V12/U12-1)*100</f>
        <v>2.2594213565024113</v>
      </c>
      <c r="W22" s="24">
        <f t="shared" si="3"/>
        <v>0.99047519385020433</v>
      </c>
      <c r="X22" s="24">
        <f t="shared" si="3"/>
        <v>2.4596598828636296</v>
      </c>
      <c r="Y22" s="24">
        <f t="shared" si="3"/>
        <v>1.6343833692604504</v>
      </c>
      <c r="Z22" s="24">
        <f t="shared" si="3"/>
        <v>1.1530622066197482</v>
      </c>
      <c r="AA22" s="24">
        <f t="shared" si="3"/>
        <v>0.66260776198043825</v>
      </c>
      <c r="AB22" s="24">
        <f t="shared" si="3"/>
        <v>1.2137876939777081</v>
      </c>
      <c r="AC22" s="24">
        <f t="shared" si="3"/>
        <v>-3.3656774839527115</v>
      </c>
      <c r="AD22" s="24">
        <f t="shared" si="3"/>
        <v>2.2371098373561438</v>
      </c>
      <c r="AE22" s="24">
        <f t="shared" si="3"/>
        <v>4.2802013216451495</v>
      </c>
      <c r="AF22" s="24">
        <f t="shared" si="3"/>
        <v>1.5016032927371858</v>
      </c>
      <c r="AG22" s="24">
        <f>_xlfn.STDEV.S(V22:AF22)</f>
        <v>1.8555100544971892</v>
      </c>
      <c r="AM22" s="14" t="s">
        <v>53</v>
      </c>
      <c r="AN22" t="s">
        <v>10</v>
      </c>
      <c r="AO22" t="s">
        <v>11</v>
      </c>
      <c r="AP22" t="s">
        <v>12</v>
      </c>
      <c r="AS22" t="s">
        <v>41</v>
      </c>
      <c r="AW22">
        <v>82</v>
      </c>
      <c r="BE22" s="14"/>
      <c r="BF22" s="16"/>
      <c r="BG22" s="16"/>
      <c r="BH22" s="16"/>
      <c r="BI22" s="16"/>
      <c r="BJ22" s="16"/>
      <c r="BK22" s="16"/>
      <c r="BL22" s="16"/>
      <c r="BM22" s="16"/>
      <c r="BN22" s="16"/>
      <c r="BO22" s="16"/>
      <c r="BP22" s="16"/>
      <c r="BQ22" s="16"/>
    </row>
    <row r="23" spans="1:70" ht="16">
      <c r="A23" s="13" t="s">
        <v>20</v>
      </c>
      <c r="B23" s="16"/>
      <c r="C23" s="16">
        <f>(C19-B19)/B19*100</f>
        <v>2.0956429503175973</v>
      </c>
      <c r="D23" s="16">
        <f>(D19-C19)/C19*100</f>
        <v>2.0950375497924152</v>
      </c>
      <c r="E23" s="16">
        <f t="shared" ref="E23:M23" si="4">(E19/D19-1)*100</f>
        <v>3.7839645685702417</v>
      </c>
      <c r="F23" s="16">
        <f t="shared" si="4"/>
        <v>2.5515642972205432</v>
      </c>
      <c r="G23" s="16">
        <f t="shared" si="4"/>
        <v>3.3984396600422961</v>
      </c>
      <c r="H23" s="16">
        <f t="shared" si="4"/>
        <v>4.3096459874562898</v>
      </c>
      <c r="I23" s="16">
        <f t="shared" si="4"/>
        <v>0.67562956138036423</v>
      </c>
      <c r="J23" s="16">
        <f t="shared" si="4"/>
        <v>-3.4690513666072231</v>
      </c>
      <c r="K23" s="16">
        <f t="shared" si="4"/>
        <v>6.9423272744058906</v>
      </c>
      <c r="L23" s="16">
        <f t="shared" si="4"/>
        <v>1.9083978213566999</v>
      </c>
      <c r="M23" s="16">
        <f t="shared" si="4"/>
        <v>-0.94107912448014863</v>
      </c>
      <c r="N23" s="16">
        <f>AVERAGE(C23:M23)</f>
        <v>2.1227744708595426</v>
      </c>
      <c r="AM23" s="13" t="s">
        <v>20</v>
      </c>
      <c r="AN23" s="28">
        <v>3.17288525402546E-2</v>
      </c>
      <c r="AO23" s="28">
        <v>3.2216090708971017E-2</v>
      </c>
      <c r="AP23" s="28">
        <v>3.2754700630903237E-2</v>
      </c>
    </row>
    <row r="24" spans="1:70">
      <c r="A24" s="14" t="s">
        <v>23</v>
      </c>
      <c r="B24" s="16"/>
      <c r="C24" s="16">
        <f>(C20-B20)/B20*100</f>
        <v>1.7916255985882885</v>
      </c>
      <c r="D24" s="16">
        <f>(D20/C20-1)*100</f>
        <v>2.3509338629523979</v>
      </c>
      <c r="E24" s="16">
        <f t="shared" ref="E24:M24" si="5">(E20/D20-1)*100</f>
        <v>1.6440912961244392</v>
      </c>
      <c r="F24" s="16">
        <f t="shared" si="5"/>
        <v>2.0688388677600145</v>
      </c>
      <c r="G24" s="16">
        <f t="shared" si="5"/>
        <v>1.3631536500791297</v>
      </c>
      <c r="H24" s="16">
        <f t="shared" si="5"/>
        <v>2.8603571746275147</v>
      </c>
      <c r="I24" s="16">
        <f t="shared" si="5"/>
        <v>1.1413556839737993</v>
      </c>
      <c r="J24" s="16">
        <f t="shared" si="5"/>
        <v>-2.1417891546677392</v>
      </c>
      <c r="K24" s="16">
        <f t="shared" si="5"/>
        <v>5.5596313850536205</v>
      </c>
      <c r="L24" s="16">
        <f t="shared" si="5"/>
        <v>3.04465220839647</v>
      </c>
      <c r="M24" s="16">
        <f t="shared" si="5"/>
        <v>0.68295024552615935</v>
      </c>
      <c r="N24" s="16">
        <f>AVERAGE(C24:M24)</f>
        <v>1.8514364380376449</v>
      </c>
      <c r="T24" s="17" t="s">
        <v>54</v>
      </c>
      <c r="U24" s="18">
        <v>2012</v>
      </c>
      <c r="V24" s="18">
        <v>2013</v>
      </c>
      <c r="W24" s="18">
        <v>2014</v>
      </c>
      <c r="X24" s="18">
        <v>2015</v>
      </c>
      <c r="Y24" s="18">
        <v>2016</v>
      </c>
      <c r="Z24" s="18">
        <v>2017</v>
      </c>
      <c r="AA24" s="18">
        <v>2018</v>
      </c>
      <c r="AB24" s="18">
        <v>2019</v>
      </c>
      <c r="AC24" s="18">
        <v>2020</v>
      </c>
      <c r="AD24" s="18">
        <v>2021</v>
      </c>
      <c r="AE24" s="18">
        <v>2022</v>
      </c>
      <c r="AF24" s="19">
        <v>2023</v>
      </c>
      <c r="AG24" s="19" t="s">
        <v>51</v>
      </c>
      <c r="AM24" s="14" t="s">
        <v>23</v>
      </c>
      <c r="AN24" s="28">
        <v>5.3406015038490302E-2</v>
      </c>
      <c r="AO24" s="28">
        <v>5.399671196937561E-2</v>
      </c>
      <c r="AP24" s="28">
        <v>5.4428640753030777E-2</v>
      </c>
      <c r="BE24" s="14"/>
    </row>
    <row r="25" spans="1:70">
      <c r="B25" s="16"/>
      <c r="C25" s="16"/>
      <c r="D25" s="16"/>
      <c r="E25" s="16"/>
      <c r="F25" s="16"/>
      <c r="G25" s="16"/>
      <c r="H25" s="16"/>
      <c r="I25" s="16"/>
      <c r="J25" s="16"/>
      <c r="K25" s="16"/>
      <c r="L25" s="16"/>
      <c r="M25" s="16"/>
      <c r="N25" s="16" t="s">
        <v>42</v>
      </c>
      <c r="T25" s="23" t="s">
        <v>20</v>
      </c>
      <c r="U25" s="24"/>
      <c r="V25" s="24">
        <f t="shared" ref="V25:AF25" si="6">(V4/U4-1)*100</f>
        <v>2.0375923002751817</v>
      </c>
      <c r="W25" s="24">
        <f t="shared" si="6"/>
        <v>3.9718687482394932</v>
      </c>
      <c r="X25" s="24">
        <f t="shared" si="6"/>
        <v>1.8262512292836153</v>
      </c>
      <c r="Y25" s="24">
        <f t="shared" si="6"/>
        <v>2.5066627411050035</v>
      </c>
      <c r="Z25" s="24">
        <f t="shared" si="6"/>
        <v>3.7638382116426117</v>
      </c>
      <c r="AA25" s="24">
        <f t="shared" si="6"/>
        <v>1.9446792186737838</v>
      </c>
      <c r="AB25" s="24">
        <f t="shared" si="6"/>
        <v>5.6209647130843754</v>
      </c>
      <c r="AC25" s="24">
        <f t="shared" si="6"/>
        <v>3.9264625735216496</v>
      </c>
      <c r="AD25" s="24">
        <f t="shared" si="6"/>
        <v>3.6592511252211857</v>
      </c>
      <c r="AE25" s="24">
        <f t="shared" si="6"/>
        <v>2.4256803371853985</v>
      </c>
      <c r="AF25" s="24">
        <f t="shared" si="6"/>
        <v>6.9977907439918496</v>
      </c>
      <c r="AG25" s="24">
        <f>_xlfn.STDEV.S(V25:AF25)</f>
        <v>1.6349167967531757</v>
      </c>
      <c r="BE25" s="13"/>
      <c r="BF25" s="16"/>
      <c r="BG25" s="16"/>
      <c r="BH25" s="16"/>
      <c r="BI25" s="16"/>
      <c r="BJ25" s="16"/>
      <c r="BK25" s="16"/>
      <c r="BL25" s="16"/>
      <c r="BM25" s="16"/>
      <c r="BN25" s="16"/>
      <c r="BO25" s="16"/>
      <c r="BP25" s="16"/>
      <c r="BQ25" s="16"/>
      <c r="BR25" s="16"/>
    </row>
    <row r="26" spans="1:70">
      <c r="A26" s="14" t="s">
        <v>55</v>
      </c>
      <c r="B26" t="s">
        <v>5</v>
      </c>
      <c r="C26" t="s">
        <v>6</v>
      </c>
      <c r="D26" t="s">
        <v>7</v>
      </c>
      <c r="E26" t="s">
        <v>8</v>
      </c>
      <c r="F26" t="s">
        <v>9</v>
      </c>
      <c r="G26" t="s">
        <v>10</v>
      </c>
      <c r="H26" t="s">
        <v>11</v>
      </c>
      <c r="I26" t="s">
        <v>12</v>
      </c>
      <c r="J26" t="s">
        <v>13</v>
      </c>
      <c r="K26" t="s">
        <v>14</v>
      </c>
      <c r="L26" t="s">
        <v>15</v>
      </c>
      <c r="M26" t="s">
        <v>16</v>
      </c>
      <c r="N26" t="s">
        <v>44</v>
      </c>
      <c r="T26" s="23" t="s">
        <v>23</v>
      </c>
      <c r="U26" s="24"/>
      <c r="V26" s="24">
        <f t="shared" ref="V26:AF26" si="7">(V13/U13-1)*100</f>
        <v>1.7993321045495003</v>
      </c>
      <c r="W26" s="24">
        <f t="shared" si="7"/>
        <v>2.0895959279296994</v>
      </c>
      <c r="X26" s="24">
        <f t="shared" si="7"/>
        <v>0.6854113802102102</v>
      </c>
      <c r="Y26" s="24">
        <f t="shared" si="7"/>
        <v>0.29831967859945685</v>
      </c>
      <c r="Z26" s="24">
        <f t="shared" si="7"/>
        <v>0.95321437314548341</v>
      </c>
      <c r="AA26" s="24">
        <f t="shared" si="7"/>
        <v>0.79885360107210257</v>
      </c>
      <c r="AB26" s="24">
        <f t="shared" si="7"/>
        <v>0.82722038621332317</v>
      </c>
      <c r="AC26" s="24">
        <f t="shared" si="7"/>
        <v>3.8472600826194192</v>
      </c>
      <c r="AD26" s="24">
        <f t="shared" si="7"/>
        <v>3.0109440497227302</v>
      </c>
      <c r="AE26" s="24">
        <f t="shared" si="7"/>
        <v>-1.2065904539688033</v>
      </c>
      <c r="AF26" s="24">
        <f t="shared" si="7"/>
        <v>1.6546737467622474</v>
      </c>
      <c r="AG26" s="24">
        <f>_xlfn.STDEV.S(V26:AF26)</f>
        <v>1.3658099826556256</v>
      </c>
      <c r="AM26" s="14" t="s">
        <v>56</v>
      </c>
      <c r="AN26" t="s">
        <v>10</v>
      </c>
      <c r="AO26" t="s">
        <v>11</v>
      </c>
      <c r="AP26" t="s">
        <v>12</v>
      </c>
      <c r="BE26" s="14"/>
      <c r="BF26" s="16"/>
      <c r="BG26" s="16"/>
      <c r="BH26" s="16"/>
      <c r="BI26" s="16"/>
      <c r="BJ26" s="16"/>
      <c r="BK26" s="16"/>
      <c r="BL26" s="16"/>
      <c r="BM26" s="16"/>
      <c r="BN26" s="16"/>
      <c r="BO26" s="16"/>
      <c r="BP26" s="16"/>
      <c r="BQ26" s="16"/>
      <c r="BR26" s="16"/>
    </row>
    <row r="27" spans="1:70" ht="16">
      <c r="A27" s="13" t="s">
        <v>20</v>
      </c>
      <c r="B27" s="16"/>
      <c r="C27" s="16">
        <f t="shared" ref="C27:M27" si="8">((C11-B11)/B11)*100</f>
        <v>2.0183671409825431E-2</v>
      </c>
      <c r="D27" s="16">
        <f t="shared" si="8"/>
        <v>0.68610634648371194</v>
      </c>
      <c r="E27" s="16">
        <f t="shared" si="8"/>
        <v>0.21044192804889642</v>
      </c>
      <c r="F27" s="16">
        <f t="shared" si="8"/>
        <v>9.9999999999994316E-2</v>
      </c>
      <c r="G27" s="16">
        <f t="shared" si="8"/>
        <v>2.8971028971029029</v>
      </c>
      <c r="H27" s="16">
        <f t="shared" si="8"/>
        <v>2.5533980582524229</v>
      </c>
      <c r="I27" s="16">
        <f t="shared" si="8"/>
        <v>2.7454321688914192</v>
      </c>
      <c r="J27" s="16">
        <f t="shared" si="8"/>
        <v>8.2926379802822636E-2</v>
      </c>
      <c r="K27" s="16">
        <f t="shared" si="8"/>
        <v>3.2406554962253691</v>
      </c>
      <c r="L27" s="16">
        <f t="shared" si="8"/>
        <v>17.237381844123416</v>
      </c>
      <c r="M27" s="16">
        <f t="shared" si="8"/>
        <v>9.0591009355746532</v>
      </c>
      <c r="N27" s="16">
        <f>AVERAGE(C27:M27)</f>
        <v>3.5302481569014033</v>
      </c>
      <c r="AM27" s="13" t="s">
        <v>20</v>
      </c>
      <c r="AN27">
        <v>1.2072210809925601</v>
      </c>
      <c r="AO27">
        <v>1.07351315071964</v>
      </c>
      <c r="AP27">
        <v>1.1893880507552199</v>
      </c>
    </row>
    <row r="28" spans="1:70">
      <c r="A28" s="14" t="s">
        <v>23</v>
      </c>
      <c r="B28" s="16"/>
      <c r="C28" s="16">
        <f t="shared" ref="C28:M28" si="9">((C12-B12)/B12)*100</f>
        <v>6.9472012703446981E-2</v>
      </c>
      <c r="D28" s="16">
        <f t="shared" si="9"/>
        <v>9.9176832292027332E-3</v>
      </c>
      <c r="E28" s="16">
        <f t="shared" si="9"/>
        <v>-0.83300277667592548</v>
      </c>
      <c r="F28" s="16">
        <f t="shared" si="9"/>
        <v>-0.53000000000000114</v>
      </c>
      <c r="G28" s="16">
        <f t="shared" si="9"/>
        <v>0.64341007338896206</v>
      </c>
      <c r="H28" s="16">
        <f t="shared" si="9"/>
        <v>0.9189891119768272</v>
      </c>
      <c r="I28" s="16">
        <f t="shared" si="9"/>
        <v>0.37612590319706568</v>
      </c>
      <c r="J28" s="16">
        <f t="shared" si="9"/>
        <v>-0.83818163889162245</v>
      </c>
      <c r="K28" s="16">
        <f t="shared" si="9"/>
        <v>0.47732696897375093</v>
      </c>
      <c r="L28" s="16">
        <f t="shared" si="9"/>
        <v>2.6722090261282543</v>
      </c>
      <c r="M28" s="16">
        <f t="shared" si="9"/>
        <v>2.2749180643917484</v>
      </c>
      <c r="N28" s="16">
        <f>AVERAGE(C28:M28)</f>
        <v>0.47647131167470086</v>
      </c>
      <c r="T28" s="17" t="s">
        <v>57</v>
      </c>
      <c r="U28" s="18">
        <v>2012</v>
      </c>
      <c r="V28" s="18">
        <v>2013</v>
      </c>
      <c r="W28" s="18">
        <v>2014</v>
      </c>
      <c r="X28" s="18">
        <v>2015</v>
      </c>
      <c r="Y28" s="18">
        <v>2016</v>
      </c>
      <c r="Z28" s="18">
        <v>2017</v>
      </c>
      <c r="AA28" s="18">
        <v>2018</v>
      </c>
      <c r="AB28" s="18">
        <v>2019</v>
      </c>
      <c r="AC28" s="18">
        <v>2020</v>
      </c>
      <c r="AD28" s="18">
        <v>2021</v>
      </c>
      <c r="AE28" s="18">
        <v>2022</v>
      </c>
      <c r="AF28" s="19">
        <v>2023</v>
      </c>
      <c r="AG28" s="19" t="s">
        <v>51</v>
      </c>
      <c r="AM28" s="14" t="s">
        <v>23</v>
      </c>
      <c r="AN28">
        <v>9.7955876053815293E-3</v>
      </c>
      <c r="AO28">
        <v>1.3008867183828401E-2</v>
      </c>
      <c r="AP28">
        <v>9.1832516564972991E-3</v>
      </c>
      <c r="BE28" s="14"/>
    </row>
    <row r="29" spans="1:70">
      <c r="T29" s="23" t="s">
        <v>20</v>
      </c>
      <c r="U29" s="24"/>
      <c r="V29" s="24">
        <f t="shared" ref="V29:AF29" si="10">(V5/U5-1)*100</f>
        <v>-9.6568027721389278</v>
      </c>
      <c r="W29" s="24">
        <f t="shared" si="10"/>
        <v>-4.9673302788267542</v>
      </c>
      <c r="X29" s="24">
        <f t="shared" si="10"/>
        <v>4.3822277995626324</v>
      </c>
      <c r="Y29" s="24">
        <f t="shared" si="10"/>
        <v>0.138604645567586</v>
      </c>
      <c r="Z29" s="24">
        <f t="shared" si="10"/>
        <v>10.598170788705197</v>
      </c>
      <c r="AA29" s="24">
        <f t="shared" si="10"/>
        <v>13.628099964630991</v>
      </c>
      <c r="AB29" s="24">
        <f t="shared" si="10"/>
        <v>5.8155794474630484</v>
      </c>
      <c r="AC29" s="24">
        <f t="shared" si="10"/>
        <v>-8.6066429943838063</v>
      </c>
      <c r="AD29" s="24">
        <f t="shared" si="10"/>
        <v>23.867818150339382</v>
      </c>
      <c r="AE29" s="24">
        <f t="shared" si="10"/>
        <v>-8.7291346250357726</v>
      </c>
      <c r="AF29" s="24">
        <f t="shared" si="10"/>
        <v>11.746534256347685</v>
      </c>
      <c r="AG29" s="24">
        <f>_xlfn.STDEV.S(V29:AF29)</f>
        <v>10.927796661583173</v>
      </c>
      <c r="BE29" s="13"/>
      <c r="BF29" s="16"/>
      <c r="BG29" s="16"/>
      <c r="BH29" s="16"/>
      <c r="BI29" s="16"/>
      <c r="BJ29" s="16"/>
      <c r="BK29" s="16"/>
      <c r="BL29" s="16"/>
      <c r="BM29" s="16"/>
      <c r="BN29" s="16"/>
      <c r="BO29" s="16"/>
      <c r="BP29" s="16"/>
      <c r="BQ29" s="16"/>
      <c r="BR29" s="16"/>
    </row>
    <row r="30" spans="1:70">
      <c r="A30" s="14" t="s">
        <v>58</v>
      </c>
      <c r="B30" t="s">
        <v>5</v>
      </c>
      <c r="C30" t="s">
        <v>6</v>
      </c>
      <c r="D30" t="s">
        <v>7</v>
      </c>
      <c r="E30" t="s">
        <v>8</v>
      </c>
      <c r="F30" t="s">
        <v>9</v>
      </c>
      <c r="G30" t="s">
        <v>10</v>
      </c>
      <c r="H30" t="s">
        <v>11</v>
      </c>
      <c r="I30" t="s">
        <v>12</v>
      </c>
      <c r="J30" t="s">
        <v>13</v>
      </c>
      <c r="K30" t="s">
        <v>14</v>
      </c>
      <c r="L30" t="s">
        <v>15</v>
      </c>
      <c r="M30" t="s">
        <v>16</v>
      </c>
      <c r="T30" s="23" t="s">
        <v>23</v>
      </c>
      <c r="U30" s="24"/>
      <c r="V30" s="24">
        <f t="shared" ref="V30:AF30" si="11">(V14/U14-1)*100</f>
        <v>-7.5534289295156487</v>
      </c>
      <c r="W30" s="24">
        <f t="shared" si="11"/>
        <v>4.1588450693324841</v>
      </c>
      <c r="X30" s="24">
        <f t="shared" si="11"/>
        <v>1.4180099109646127</v>
      </c>
      <c r="Y30" s="24">
        <f t="shared" si="11"/>
        <v>0.68825038162152463</v>
      </c>
      <c r="Z30" s="24">
        <f t="shared" si="11"/>
        <v>2.6435941668636609</v>
      </c>
      <c r="AA30" s="24">
        <f t="shared" si="11"/>
        <v>2.3305359071726484</v>
      </c>
      <c r="AB30" s="24">
        <f t="shared" si="11"/>
        <v>3.9954344040750156</v>
      </c>
      <c r="AC30" s="24">
        <f t="shared" si="11"/>
        <v>3.3158197449651983</v>
      </c>
      <c r="AD30" s="24">
        <f t="shared" si="11"/>
        <v>-4.7713961264938431</v>
      </c>
      <c r="AE30" s="24">
        <f t="shared" si="11"/>
        <v>0.49116886106332913</v>
      </c>
      <c r="AF30" s="24">
        <f t="shared" si="11"/>
        <v>3.5863469467414699</v>
      </c>
      <c r="AG30" s="24">
        <f>_xlfn.STDEV.S(V30:AF30)</f>
        <v>3.7740126653513277</v>
      </c>
      <c r="AM30" s="14" t="s">
        <v>59</v>
      </c>
      <c r="AN30" t="s">
        <v>10</v>
      </c>
      <c r="AO30" t="s">
        <v>11</v>
      </c>
      <c r="AP30" t="s">
        <v>12</v>
      </c>
      <c r="BE30" s="14"/>
      <c r="BF30" s="16"/>
      <c r="BG30" s="16"/>
      <c r="BH30" s="16"/>
      <c r="BI30" s="16"/>
      <c r="BJ30" s="16"/>
      <c r="BK30" s="16"/>
      <c r="BL30" s="16"/>
      <c r="BM30" s="16"/>
      <c r="BN30" s="16"/>
      <c r="BO30" s="16"/>
      <c r="BP30" s="16"/>
      <c r="BQ30" s="16"/>
      <c r="BR30" s="16"/>
    </row>
    <row r="31" spans="1:70" ht="16">
      <c r="A31" s="13" t="s">
        <v>20</v>
      </c>
      <c r="B31" s="16"/>
      <c r="C31" s="16">
        <f t="shared" ref="C31:M31" si="12">((C7-B7)/B7)*100</f>
        <v>1.2908884532040086</v>
      </c>
      <c r="D31" s="16">
        <f t="shared" si="12"/>
        <v>1.4812400036674378</v>
      </c>
      <c r="E31" s="16">
        <f t="shared" si="12"/>
        <v>0.38648797871806972</v>
      </c>
      <c r="F31" s="16">
        <f t="shared" si="12"/>
        <v>0.60800000000000409</v>
      </c>
      <c r="G31" s="16">
        <f t="shared" si="12"/>
        <v>2.7095260814249356</v>
      </c>
      <c r="H31" s="16">
        <f t="shared" si="12"/>
        <v>3.7402984496874159</v>
      </c>
      <c r="I31" s="16">
        <f t="shared" si="12"/>
        <v>4.316271607011255</v>
      </c>
      <c r="J31" s="16">
        <f t="shared" si="12"/>
        <v>2.3930034160213207</v>
      </c>
      <c r="K31" s="16">
        <f t="shared" si="12"/>
        <v>3.297758991109335</v>
      </c>
      <c r="L31" s="16">
        <f t="shared" si="12"/>
        <v>9.6924195539322486</v>
      </c>
      <c r="M31" s="16">
        <f t="shared" si="12"/>
        <v>10.671948944828973</v>
      </c>
      <c r="AM31" s="13" t="s">
        <v>20</v>
      </c>
      <c r="AN31" s="31">
        <v>78.569999999999993</v>
      </c>
      <c r="AO31" s="31">
        <v>78.569999999999993</v>
      </c>
      <c r="AP31" s="31">
        <v>80</v>
      </c>
    </row>
    <row r="32" spans="1:70">
      <c r="A32" s="14" t="s">
        <v>23</v>
      </c>
      <c r="B32" s="16"/>
      <c r="C32" s="16">
        <f t="shared" ref="C32:M32" si="13">((C8-B8)/B8)*100</f>
        <v>-2.1802132648997716</v>
      </c>
      <c r="D32" s="16">
        <f t="shared" si="13"/>
        <v>0.69544174685919835</v>
      </c>
      <c r="E32" s="16">
        <f t="shared" si="13"/>
        <v>12.298984817177249</v>
      </c>
      <c r="F32" s="16">
        <f t="shared" si="13"/>
        <v>-2.6170000000000044</v>
      </c>
      <c r="G32" s="16">
        <f t="shared" si="13"/>
        <v>-2.2950617664274047</v>
      </c>
      <c r="H32" s="16">
        <f t="shared" si="13"/>
        <v>-3.0132004876613174</v>
      </c>
      <c r="I32" s="16">
        <f t="shared" si="13"/>
        <v>3.7223263727094289</v>
      </c>
      <c r="J32" s="16">
        <f t="shared" si="13"/>
        <v>3.1875548497638873</v>
      </c>
      <c r="K32" s="16">
        <f t="shared" si="13"/>
        <v>0.32804479228892047</v>
      </c>
      <c r="L32" s="16">
        <f t="shared" si="13"/>
        <v>10.874852408392297</v>
      </c>
      <c r="M32" s="16">
        <f t="shared" si="13"/>
        <v>4.3124869159984343</v>
      </c>
      <c r="T32" s="17" t="s">
        <v>60</v>
      </c>
      <c r="U32" s="18">
        <v>2012</v>
      </c>
      <c r="V32" s="18">
        <v>2013</v>
      </c>
      <c r="W32" s="18">
        <v>2014</v>
      </c>
      <c r="X32" s="18">
        <v>2015</v>
      </c>
      <c r="Y32" s="18">
        <v>2016</v>
      </c>
      <c r="Z32" s="18">
        <v>2017</v>
      </c>
      <c r="AA32" s="18">
        <v>2018</v>
      </c>
      <c r="AB32" s="18">
        <v>2019</v>
      </c>
      <c r="AC32" s="18">
        <v>2020</v>
      </c>
      <c r="AD32" s="18">
        <v>2021</v>
      </c>
      <c r="AE32" s="18">
        <v>2022</v>
      </c>
      <c r="AF32" s="19">
        <v>2023</v>
      </c>
      <c r="AG32" s="19" t="s">
        <v>51</v>
      </c>
      <c r="AM32" s="14" t="s">
        <v>23</v>
      </c>
      <c r="AN32" s="40">
        <v>99.047600000000003</v>
      </c>
      <c r="AO32" s="40">
        <v>99.047600000000003</v>
      </c>
      <c r="AP32" s="41">
        <v>99.047600000000003</v>
      </c>
      <c r="BE32" s="14"/>
    </row>
    <row r="33" spans="1:69">
      <c r="T33" s="23" t="s">
        <v>20</v>
      </c>
      <c r="U33" s="24"/>
      <c r="V33" s="24">
        <f t="shared" ref="V33:AF33" si="14">(V6/U6-1)*100</f>
        <v>0.65929447865054058</v>
      </c>
      <c r="W33" s="24">
        <f t="shared" si="14"/>
        <v>6.5606527584170404</v>
      </c>
      <c r="X33" s="24">
        <f t="shared" si="14"/>
        <v>3.0552439662307362</v>
      </c>
      <c r="Y33" s="24">
        <f t="shared" si="14"/>
        <v>3.8926463196355954</v>
      </c>
      <c r="Z33" s="24">
        <f t="shared" si="14"/>
        <v>6.4554249972422983</v>
      </c>
      <c r="AA33" s="24">
        <f t="shared" si="14"/>
        <v>4.3630569325880053</v>
      </c>
      <c r="AB33" s="24">
        <f t="shared" si="14"/>
        <v>-0.57016848392079655</v>
      </c>
      <c r="AC33" s="24">
        <f t="shared" si="14"/>
        <v>-0.29762480022639259</v>
      </c>
      <c r="AD33" s="24">
        <f t="shared" si="14"/>
        <v>9.0925444045489634</v>
      </c>
      <c r="AE33" s="24">
        <f t="shared" si="14"/>
        <v>11.419953411850582</v>
      </c>
      <c r="AF33" s="24">
        <f t="shared" si="14"/>
        <v>-4.6982378092639276</v>
      </c>
      <c r="AG33" s="24">
        <f>_xlfn.STDEV.S(V33:AF33)</f>
        <v>4.682771669119858</v>
      </c>
      <c r="BE33" s="13"/>
      <c r="BF33" s="16"/>
      <c r="BG33" s="16"/>
      <c r="BH33" s="16"/>
      <c r="BI33" s="16"/>
      <c r="BJ33" s="16"/>
      <c r="BK33" s="16"/>
      <c r="BL33" s="16"/>
      <c r="BM33" s="16"/>
      <c r="BN33" s="16"/>
      <c r="BO33" s="16"/>
      <c r="BP33" s="16"/>
      <c r="BQ33" s="16"/>
    </row>
    <row r="34" spans="1:69">
      <c r="A34" t="s">
        <v>61</v>
      </c>
      <c r="T34" s="23" t="s">
        <v>23</v>
      </c>
      <c r="U34" s="24"/>
      <c r="V34" s="24">
        <f t="shared" ref="V34:AF34" si="15">(V15/U15-1)*100</f>
        <v>14.171961074667916</v>
      </c>
      <c r="W34" s="24">
        <f t="shared" si="15"/>
        <v>-5.0342510569742371</v>
      </c>
      <c r="X34" s="24">
        <f t="shared" si="15"/>
        <v>4.0237772175788278</v>
      </c>
      <c r="Y34" s="24">
        <f t="shared" si="15"/>
        <v>5.9776829246938945</v>
      </c>
      <c r="Z34" s="24">
        <f t="shared" si="15"/>
        <v>-0.376952418836074</v>
      </c>
      <c r="AA34" s="24">
        <f t="shared" si="15"/>
        <v>3.3728643151335946</v>
      </c>
      <c r="AB34" s="24">
        <f t="shared" si="15"/>
        <v>-0.67818914169189837</v>
      </c>
      <c r="AC34" s="24">
        <f t="shared" si="15"/>
        <v>-5.2401923336704348</v>
      </c>
      <c r="AD34" s="24">
        <f t="shared" si="15"/>
        <v>13.745377001720783</v>
      </c>
      <c r="AE34" s="24">
        <f t="shared" si="15"/>
        <v>6.1038111457016875</v>
      </c>
      <c r="AF34" s="24">
        <f t="shared" si="15"/>
        <v>0.70640776940011918</v>
      </c>
      <c r="AG34" s="24">
        <f>_xlfn.STDEV.S(V34:AF34)</f>
        <v>6.4908626514607963</v>
      </c>
      <c r="AM34" s="14" t="s">
        <v>62</v>
      </c>
      <c r="AN34" t="s">
        <v>16</v>
      </c>
      <c r="BE34" s="14"/>
      <c r="BF34" s="16"/>
      <c r="BG34" s="16"/>
      <c r="BH34" s="16"/>
      <c r="BI34" s="16"/>
      <c r="BJ34" s="16"/>
      <c r="BK34" s="16"/>
      <c r="BL34" s="16"/>
      <c r="BM34" s="16"/>
      <c r="BN34" s="16"/>
      <c r="BO34" s="16"/>
      <c r="BP34" s="16"/>
      <c r="BQ34" s="16"/>
    </row>
    <row r="35" spans="1:69" ht="16">
      <c r="AM35" s="13" t="s">
        <v>20</v>
      </c>
      <c r="AN35" s="31">
        <v>60</v>
      </c>
    </row>
    <row r="36" spans="1:69">
      <c r="T36" s="17" t="s">
        <v>63</v>
      </c>
      <c r="U36" s="18">
        <v>2012</v>
      </c>
      <c r="V36" s="18">
        <v>2013</v>
      </c>
      <c r="W36" s="18">
        <v>2014</v>
      </c>
      <c r="X36" s="18">
        <v>2015</v>
      </c>
      <c r="Y36" s="18">
        <v>2016</v>
      </c>
      <c r="Z36" s="18">
        <v>2017</v>
      </c>
      <c r="AA36" s="18">
        <v>2018</v>
      </c>
      <c r="AB36" s="18">
        <v>2019</v>
      </c>
      <c r="AC36" s="18">
        <v>2020</v>
      </c>
      <c r="AD36" s="18">
        <v>2021</v>
      </c>
      <c r="AE36" s="18">
        <v>2022</v>
      </c>
      <c r="AF36" s="19">
        <v>2023</v>
      </c>
      <c r="AG36" s="19" t="s">
        <v>51</v>
      </c>
      <c r="AM36" s="14" t="s">
        <v>23</v>
      </c>
      <c r="AN36" s="41">
        <v>82</v>
      </c>
    </row>
    <row r="37" spans="1:69">
      <c r="T37" s="23" t="s">
        <v>20</v>
      </c>
      <c r="U37" s="24"/>
      <c r="V37" s="24">
        <f t="shared" ref="V37:AF37" si="16">(V7/U7-1)*100</f>
        <v>-0.12734896766866122</v>
      </c>
      <c r="W37" s="24">
        <f t="shared" si="16"/>
        <v>2.9989191202824284</v>
      </c>
      <c r="X37" s="24">
        <f t="shared" si="16"/>
        <v>1.0133576313939407</v>
      </c>
      <c r="Y37" s="24">
        <f t="shared" si="16"/>
        <v>4.1897021509927246</v>
      </c>
      <c r="Z37" s="24">
        <f t="shared" si="16"/>
        <v>8.5635153252571214</v>
      </c>
      <c r="AA37" s="24">
        <f t="shared" si="16"/>
        <v>6.3288704004481611</v>
      </c>
      <c r="AB37" s="24">
        <f t="shared" si="16"/>
        <v>2.0274606037332221</v>
      </c>
      <c r="AC37" s="24">
        <f t="shared" si="16"/>
        <v>-1.1227783043368689</v>
      </c>
      <c r="AD37" s="24">
        <f t="shared" si="16"/>
        <v>15.139951007967301</v>
      </c>
      <c r="AE37" s="24">
        <f t="shared" si="16"/>
        <v>9.9127855867687344</v>
      </c>
      <c r="AF37" s="24">
        <f t="shared" si="16"/>
        <v>-1.9844958337184693</v>
      </c>
      <c r="AG37" s="24">
        <f>_xlfn.STDEV.S(V37:AF37)</f>
        <v>5.2674875779680228</v>
      </c>
    </row>
    <row r="38" spans="1:69">
      <c r="T38" s="23" t="s">
        <v>23</v>
      </c>
      <c r="U38" s="24"/>
      <c r="V38" s="24">
        <f t="shared" ref="V38:AF38" si="17">(V16/U16-1)*100</f>
        <v>12.268705833756055</v>
      </c>
      <c r="W38" s="24">
        <f t="shared" si="17"/>
        <v>-6.7637536269985592</v>
      </c>
      <c r="X38" s="24">
        <f t="shared" si="17"/>
        <v>4.9515635403192704</v>
      </c>
      <c r="Y38" s="24">
        <f t="shared" si="17"/>
        <v>5.2858611327687877</v>
      </c>
      <c r="Z38" s="24">
        <f t="shared" si="17"/>
        <v>-0.38721182325531789</v>
      </c>
      <c r="AA38" s="24">
        <f t="shared" si="17"/>
        <v>0.75056284455286004</v>
      </c>
      <c r="AB38" s="24">
        <f t="shared" si="17"/>
        <v>0.27838080165012435</v>
      </c>
      <c r="AC38" s="24">
        <f t="shared" si="17"/>
        <v>-3.1801492724020664</v>
      </c>
      <c r="AD38" s="24">
        <f t="shared" si="17"/>
        <v>5.8327447961315615</v>
      </c>
      <c r="AE38" s="24">
        <f t="shared" si="17"/>
        <v>5.7882340112796138</v>
      </c>
      <c r="AF38" s="24">
        <f t="shared" si="17"/>
        <v>2.7005806692558698</v>
      </c>
      <c r="AG38" s="24">
        <f>_xlfn.STDEV.S(V38:AF38)</f>
        <v>5.1533676877995251</v>
      </c>
      <c r="AM38" s="14" t="s">
        <v>64</v>
      </c>
      <c r="AN38" t="s">
        <v>9</v>
      </c>
      <c r="AO38" t="s">
        <v>10</v>
      </c>
      <c r="AP38" t="s">
        <v>11</v>
      </c>
      <c r="AQ38" t="s">
        <v>12</v>
      </c>
    </row>
    <row r="39" spans="1:69" ht="16">
      <c r="AM39" s="13" t="s">
        <v>20</v>
      </c>
      <c r="AN39" s="33">
        <v>1.9742660000000001</v>
      </c>
      <c r="AO39" s="33">
        <v>1.9510970000000001</v>
      </c>
      <c r="AP39" s="33">
        <v>1.9284589999999999</v>
      </c>
      <c r="AQ39" s="33">
        <v>1.9067430000000001</v>
      </c>
    </row>
    <row r="40" spans="1:69">
      <c r="AM40" s="14" t="s">
        <v>23</v>
      </c>
      <c r="AN40" s="33">
        <v>8.3799169999999989</v>
      </c>
      <c r="AO40" s="33">
        <v>8.4558039999999988</v>
      </c>
      <c r="AP40" s="33">
        <v>8.5256109999999996</v>
      </c>
      <c r="AQ40" s="33">
        <v>8.5913649999999997</v>
      </c>
    </row>
    <row r="41" spans="1:69" ht="44.5" customHeight="1">
      <c r="S41" t="s">
        <v>65</v>
      </c>
      <c r="T41" s="27" t="s">
        <v>66</v>
      </c>
    </row>
    <row r="42" spans="1:69" ht="44.5" customHeight="1">
      <c r="T42" s="27" t="s">
        <v>67</v>
      </c>
    </row>
    <row r="43" spans="1:69">
      <c r="A43" t="s">
        <v>68</v>
      </c>
    </row>
    <row r="44" spans="1:69">
      <c r="B44" t="s">
        <v>69</v>
      </c>
      <c r="I44" t="s">
        <v>70</v>
      </c>
    </row>
    <row r="45" spans="1:69">
      <c r="S45" t="s">
        <v>71</v>
      </c>
      <c r="T45" s="17" t="s">
        <v>72</v>
      </c>
      <c r="U45" s="18">
        <v>2012</v>
      </c>
      <c r="V45" s="18">
        <v>2013</v>
      </c>
      <c r="W45" s="18">
        <v>2014</v>
      </c>
      <c r="X45" s="18">
        <v>2015</v>
      </c>
      <c r="Y45" s="18">
        <v>2016</v>
      </c>
      <c r="Z45" s="18">
        <v>2017</v>
      </c>
      <c r="AA45" s="18">
        <v>2018</v>
      </c>
      <c r="AB45" s="18">
        <v>2019</v>
      </c>
      <c r="AC45" s="18">
        <v>2020</v>
      </c>
      <c r="AD45" s="18">
        <v>2021</v>
      </c>
      <c r="AE45" s="18">
        <v>2022</v>
      </c>
      <c r="AF45" s="19">
        <v>2023</v>
      </c>
    </row>
    <row r="46" spans="1:69">
      <c r="T46" s="23" t="s">
        <v>21</v>
      </c>
      <c r="U46" s="44">
        <f t="shared" ref="U46:AF46" si="18">(U3/U8)</f>
        <v>0.58096321355967295</v>
      </c>
      <c r="V46" s="44">
        <f t="shared" si="18"/>
        <v>0.60698107995101158</v>
      </c>
      <c r="W46" s="44">
        <f t="shared" si="18"/>
        <v>0.59999776888379608</v>
      </c>
      <c r="X46" s="44">
        <f t="shared" si="18"/>
        <v>0.58861148901526228</v>
      </c>
      <c r="Y46" s="44">
        <f t="shared" si="18"/>
        <v>0.59636746395624129</v>
      </c>
      <c r="Z46" s="44">
        <f t="shared" si="18"/>
        <v>0.59299492197627768</v>
      </c>
      <c r="AA46" s="44">
        <f t="shared" si="18"/>
        <v>0.58904493384558154</v>
      </c>
      <c r="AB46" s="44">
        <f t="shared" si="18"/>
        <v>0.58438018555299198</v>
      </c>
      <c r="AC46" s="44">
        <f t="shared" si="18"/>
        <v>0.57638692174452122</v>
      </c>
      <c r="AD46" s="44">
        <f t="shared" si="18"/>
        <v>0.58234031502300965</v>
      </c>
      <c r="AE46" s="44">
        <f t="shared" si="18"/>
        <v>0.60108277431013479</v>
      </c>
      <c r="AF46" s="44">
        <f t="shared" si="18"/>
        <v>0.5849177157740405</v>
      </c>
    </row>
    <row r="47" spans="1:69">
      <c r="T47" s="23" t="s">
        <v>24</v>
      </c>
      <c r="U47" s="44">
        <f t="shared" ref="U47:AF47" si="19">(U4/U8)</f>
        <v>0.18203363864806787</v>
      </c>
      <c r="V47" s="44">
        <f t="shared" si="19"/>
        <v>0.1819293388618769</v>
      </c>
      <c r="W47" s="44">
        <f t="shared" si="19"/>
        <v>0.18527391933958759</v>
      </c>
      <c r="X47" s="44">
        <f t="shared" si="19"/>
        <v>0.18178007883420089</v>
      </c>
      <c r="Y47" s="44">
        <f t="shared" si="19"/>
        <v>0.18170027190505753</v>
      </c>
      <c r="Z47" s="44">
        <f t="shared" si="19"/>
        <v>0.18234148266715741</v>
      </c>
      <c r="AA47" s="44">
        <f t="shared" si="19"/>
        <v>0.17820722010025</v>
      </c>
      <c r="AB47" s="44">
        <f t="shared" si="19"/>
        <v>0.18696149800680884</v>
      </c>
      <c r="AC47" s="44">
        <f t="shared" si="19"/>
        <v>0.20128552402152694</v>
      </c>
      <c r="AD47" s="44">
        <f t="shared" si="19"/>
        <v>0.19509720908273021</v>
      </c>
      <c r="AE47" s="44">
        <f t="shared" si="19"/>
        <v>0.1962718586007573</v>
      </c>
      <c r="AF47" s="44">
        <f t="shared" si="19"/>
        <v>0.2064823234806438</v>
      </c>
      <c r="AG47" s="24"/>
      <c r="AH47" s="24"/>
      <c r="AI47" s="24"/>
    </row>
    <row r="48" spans="1:69">
      <c r="T48" s="23" t="s">
        <v>25</v>
      </c>
      <c r="U48" s="44">
        <f t="shared" ref="U48:AF48" si="20">(U5/U8)</f>
        <v>0.29151346735960698</v>
      </c>
      <c r="V48" s="44">
        <f t="shared" si="20"/>
        <v>0.25795560440772991</v>
      </c>
      <c r="W48" s="44">
        <f t="shared" si="20"/>
        <v>0.24011185088252751</v>
      </c>
      <c r="X48" s="44">
        <f t="shared" si="20"/>
        <v>0.24149736717454651</v>
      </c>
      <c r="Y48" s="44">
        <f t="shared" si="20"/>
        <v>0.23581483945356405</v>
      </c>
      <c r="Z48" s="44">
        <f t="shared" si="20"/>
        <v>0.25223360788172056</v>
      </c>
      <c r="AA48" s="44">
        <f t="shared" si="20"/>
        <v>0.27476660441469913</v>
      </c>
      <c r="AB48" s="44">
        <f t="shared" si="20"/>
        <v>0.28879542889632048</v>
      </c>
      <c r="AC48" s="44">
        <f t="shared" si="20"/>
        <v>0.27342559324121951</v>
      </c>
      <c r="AD48" s="44">
        <f t="shared" si="20"/>
        <v>0.31668544106361313</v>
      </c>
      <c r="AE48" s="44">
        <f t="shared" si="20"/>
        <v>0.28389542070668328</v>
      </c>
      <c r="AF48" s="44">
        <f t="shared" si="20"/>
        <v>0.31191946900875628</v>
      </c>
    </row>
    <row r="49" spans="19:32">
      <c r="T49" s="23" t="s">
        <v>28</v>
      </c>
      <c r="U49" s="44">
        <f t="shared" ref="U49:AF49" si="21">(U6/U8)</f>
        <v>0.61258148626533315</v>
      </c>
      <c r="V49" s="44">
        <f t="shared" si="21"/>
        <v>0.60396064186296372</v>
      </c>
      <c r="W49" s="44">
        <f t="shared" si="21"/>
        <v>0.63037823200705823</v>
      </c>
      <c r="X49" s="44">
        <f t="shared" si="21"/>
        <v>0.62595562557574413</v>
      </c>
      <c r="Y49" s="44">
        <f t="shared" si="21"/>
        <v>0.63414058748101765</v>
      </c>
      <c r="Z49" s="44">
        <f t="shared" si="21"/>
        <v>0.65288580377182681</v>
      </c>
      <c r="AA49" s="44">
        <f t="shared" si="21"/>
        <v>0.65321969008815728</v>
      </c>
      <c r="AB49" s="44">
        <f t="shared" si="21"/>
        <v>0.64513814987918794</v>
      </c>
      <c r="AC49" s="44">
        <f t="shared" si="21"/>
        <v>0.6663347263707402</v>
      </c>
      <c r="AD49" s="44">
        <f t="shared" si="21"/>
        <v>0.67970108873670265</v>
      </c>
      <c r="AE49" s="44">
        <f t="shared" si="21"/>
        <v>0.74383919542773658</v>
      </c>
      <c r="AF49" s="44">
        <f t="shared" si="21"/>
        <v>0.69699557845834792</v>
      </c>
    </row>
    <row r="50" spans="19:32">
      <c r="T50" s="23" t="s">
        <v>31</v>
      </c>
      <c r="U50" s="44">
        <f t="shared" ref="U50:AF50" si="22">(U7/U8)</f>
        <v>0.66404566477384264</v>
      </c>
      <c r="V50" s="44">
        <f t="shared" si="22"/>
        <v>0.64958413945717142</v>
      </c>
      <c r="W50" s="44">
        <f t="shared" si="22"/>
        <v>0.65533562471450779</v>
      </c>
      <c r="X50" s="44">
        <f t="shared" si="22"/>
        <v>0.63784451848431767</v>
      </c>
      <c r="Y50" s="44">
        <f t="shared" si="22"/>
        <v>0.64803254806295463</v>
      </c>
      <c r="Z50" s="44">
        <f t="shared" si="22"/>
        <v>0.68040045212804734</v>
      </c>
      <c r="AA50" s="44">
        <f t="shared" si="22"/>
        <v>0.69357118823428121</v>
      </c>
      <c r="AB50" s="44">
        <f t="shared" si="22"/>
        <v>0.70288597037328038</v>
      </c>
      <c r="AC50" s="44">
        <f t="shared" si="22"/>
        <v>0.71997157098260978</v>
      </c>
      <c r="AD50" s="44">
        <f t="shared" si="22"/>
        <v>0.77512516280067623</v>
      </c>
      <c r="AE50" s="44">
        <f t="shared" si="22"/>
        <v>0.83679325549829497</v>
      </c>
      <c r="AF50" s="44">
        <f t="shared" si="22"/>
        <v>0.80642314185207309</v>
      </c>
    </row>
    <row r="51" spans="19:32">
      <c r="T51" s="23"/>
      <c r="U51" s="24"/>
      <c r="V51" s="24"/>
      <c r="W51" s="24"/>
      <c r="X51" s="24"/>
      <c r="Y51" s="24"/>
      <c r="Z51" s="24"/>
      <c r="AA51" s="24"/>
      <c r="AB51" s="25"/>
      <c r="AC51" s="25"/>
      <c r="AD51" s="25"/>
      <c r="AE51" s="25"/>
      <c r="AF51" s="25"/>
    </row>
    <row r="53" spans="19:32">
      <c r="T53" s="17" t="s">
        <v>73</v>
      </c>
      <c r="U53" s="18">
        <v>2012</v>
      </c>
      <c r="V53" s="18">
        <v>2013</v>
      </c>
      <c r="W53" s="18">
        <v>2014</v>
      </c>
      <c r="X53" s="18">
        <v>2015</v>
      </c>
      <c r="Y53" s="18">
        <v>2016</v>
      </c>
      <c r="Z53" s="18">
        <v>2017</v>
      </c>
      <c r="AA53" s="18">
        <v>2018</v>
      </c>
      <c r="AB53" s="18">
        <v>2019</v>
      </c>
      <c r="AC53" s="18">
        <v>2020</v>
      </c>
      <c r="AD53" s="18">
        <v>2021</v>
      </c>
      <c r="AE53" s="18">
        <v>2022</v>
      </c>
      <c r="AF53" s="19">
        <v>2023</v>
      </c>
    </row>
    <row r="54" spans="19:32">
      <c r="T54" s="23" t="s">
        <v>21</v>
      </c>
      <c r="U54" s="44">
        <f t="shared" ref="U54:AF54" si="23">(U12/U17)</f>
        <v>0.52910688367466974</v>
      </c>
      <c r="V54" s="44">
        <f t="shared" si="23"/>
        <v>0.53153575122630914</v>
      </c>
      <c r="W54" s="44">
        <f t="shared" si="23"/>
        <v>0.52447591956251505</v>
      </c>
      <c r="X54" s="44">
        <f t="shared" si="23"/>
        <v>0.52868140262767738</v>
      </c>
      <c r="Y54" s="44">
        <f t="shared" si="23"/>
        <v>0.52643184242012964</v>
      </c>
      <c r="Z54" s="44">
        <f t="shared" si="23"/>
        <v>0.5253425629179107</v>
      </c>
      <c r="AA54" s="44">
        <f t="shared" si="23"/>
        <v>0.51411747191209445</v>
      </c>
      <c r="AB54" s="44">
        <f t="shared" si="23"/>
        <v>0.51448246767243822</v>
      </c>
      <c r="AC54" s="44">
        <f t="shared" si="23"/>
        <v>0.5080476935792575</v>
      </c>
      <c r="AD54" s="44">
        <f t="shared" si="23"/>
        <v>0.49205678942244602</v>
      </c>
      <c r="AE54" s="44">
        <f t="shared" si="23"/>
        <v>0.49795961634148006</v>
      </c>
      <c r="AF54" s="44">
        <f t="shared" si="23"/>
        <v>0.50200664184257004</v>
      </c>
    </row>
    <row r="55" spans="19:32">
      <c r="T55" s="23" t="s">
        <v>24</v>
      </c>
      <c r="U55" s="44">
        <f t="shared" ref="U55:AF55" si="24">(U13/U17)</f>
        <v>0.11676355497194922</v>
      </c>
      <c r="V55" s="44">
        <f t="shared" si="24"/>
        <v>0.11677180022490288</v>
      </c>
      <c r="W55" s="44">
        <f t="shared" si="24"/>
        <v>0.11647483858527044</v>
      </c>
      <c r="X55" s="44">
        <f t="shared" si="24"/>
        <v>0.11537567016837273</v>
      </c>
      <c r="Y55" s="44">
        <f t="shared" si="24"/>
        <v>0.11337449209373132</v>
      </c>
      <c r="Z55" s="44">
        <f t="shared" si="24"/>
        <v>0.11291637025411695</v>
      </c>
      <c r="AA55" s="44">
        <f t="shared" si="24"/>
        <v>0.11065323104991744</v>
      </c>
      <c r="AB55" s="44">
        <f t="shared" si="24"/>
        <v>0.11030886934428875</v>
      </c>
      <c r="AC55" s="44">
        <f t="shared" si="24"/>
        <v>0.11705985286484148</v>
      </c>
      <c r="AD55" s="44">
        <f t="shared" si="24"/>
        <v>0.11423351013524821</v>
      </c>
      <c r="AE55" s="44">
        <f t="shared" si="24"/>
        <v>0.10952128483066291</v>
      </c>
      <c r="AF55" s="44">
        <f t="shared" si="24"/>
        <v>0.11057789493905275</v>
      </c>
    </row>
    <row r="56" spans="19:32">
      <c r="T56" s="23" t="s">
        <v>25</v>
      </c>
      <c r="U56" s="44">
        <f t="shared" ref="U56:AF56" si="25">(U14/U17)</f>
        <v>0.27190836035665528</v>
      </c>
      <c r="V56" s="44">
        <f t="shared" si="25"/>
        <v>0.24694435698570302</v>
      </c>
      <c r="W56" s="44">
        <f t="shared" si="25"/>
        <v>0.25130892874109101</v>
      </c>
      <c r="X56" s="44">
        <f t="shared" si="25"/>
        <v>0.25074863281770265</v>
      </c>
      <c r="Y56" s="44">
        <f t="shared" si="25"/>
        <v>0.24735735519230709</v>
      </c>
      <c r="Z56" s="44">
        <f t="shared" si="25"/>
        <v>0.25048289995425577</v>
      </c>
      <c r="AA56" s="44">
        <f t="shared" si="25"/>
        <v>0.24919247811818521</v>
      </c>
      <c r="AB56" s="44">
        <f t="shared" si="25"/>
        <v>0.25622278124669051</v>
      </c>
      <c r="AC56" s="44">
        <f t="shared" si="25"/>
        <v>0.27051233003898367</v>
      </c>
      <c r="AD56" s="44">
        <f t="shared" si="25"/>
        <v>0.24403755385004833</v>
      </c>
      <c r="AE56" s="44">
        <f t="shared" si="25"/>
        <v>0.23799158149977689</v>
      </c>
      <c r="AF56" s="44">
        <f t="shared" si="25"/>
        <v>0.24485363162479742</v>
      </c>
    </row>
    <row r="57" spans="19:32">
      <c r="T57" s="23" t="s">
        <v>28</v>
      </c>
      <c r="U57" s="44">
        <f t="shared" ref="U57:AF57" si="26">(U15/U17)</f>
        <v>0.59930057758128341</v>
      </c>
      <c r="V57" s="44">
        <f t="shared" si="26"/>
        <v>0.67218666872044008</v>
      </c>
      <c r="W57" s="44">
        <f t="shared" si="26"/>
        <v>0.62369110378335757</v>
      </c>
      <c r="X57" s="44">
        <f t="shared" si="26"/>
        <v>0.63828955753898775</v>
      </c>
      <c r="Y57" s="44">
        <f t="shared" si="26"/>
        <v>0.66273456202518699</v>
      </c>
      <c r="Z57" s="44">
        <f t="shared" si="26"/>
        <v>0.65135964175017858</v>
      </c>
      <c r="AA57" s="44">
        <f t="shared" si="26"/>
        <v>0.65460451145078957</v>
      </c>
      <c r="AB57" s="44">
        <f t="shared" si="26"/>
        <v>0.64282411693651353</v>
      </c>
      <c r="AC57" s="44">
        <f t="shared" si="26"/>
        <v>0.62247058087187457</v>
      </c>
      <c r="AD57" s="44">
        <f t="shared" si="26"/>
        <v>0.67074086380040998</v>
      </c>
      <c r="AE57" s="44">
        <f t="shared" si="26"/>
        <v>0.69065758158518287</v>
      </c>
      <c r="AF57" s="44">
        <f t="shared" si="26"/>
        <v>0.69081590116509484</v>
      </c>
    </row>
    <row r="58" spans="19:32">
      <c r="T58" s="23" t="s">
        <v>31</v>
      </c>
      <c r="U58" s="44">
        <f t="shared" ref="U58:AF58" si="27">(U16/U17)</f>
        <v>0.51387613539371457</v>
      </c>
      <c r="V58" s="44">
        <f t="shared" si="27"/>
        <v>0.56676484431997343</v>
      </c>
      <c r="W58" s="44">
        <f t="shared" si="27"/>
        <v>0.51629787941371819</v>
      </c>
      <c r="X58" s="44">
        <f t="shared" si="27"/>
        <v>0.533095264649732</v>
      </c>
      <c r="Y58" s="44">
        <f t="shared" si="27"/>
        <v>0.54989825173135509</v>
      </c>
      <c r="Z58" s="44">
        <f t="shared" si="27"/>
        <v>0.54040435256144392</v>
      </c>
      <c r="AA58" s="44">
        <f t="shared" si="27"/>
        <v>0.52931952864491028</v>
      </c>
      <c r="AB58" s="44">
        <f t="shared" si="27"/>
        <v>0.52479993014786475</v>
      </c>
      <c r="AC58" s="44">
        <f t="shared" si="27"/>
        <v>0.51923107408918123</v>
      </c>
      <c r="AD58" s="44">
        <f t="shared" si="27"/>
        <v>0.52057453034495749</v>
      </c>
      <c r="AE58" s="44">
        <f t="shared" si="27"/>
        <v>0.53443798432033773</v>
      </c>
      <c r="AF58" s="44">
        <f t="shared" si="27"/>
        <v>0.54514577887022764</v>
      </c>
    </row>
    <row r="61" spans="19:32">
      <c r="S61" t="s">
        <v>74</v>
      </c>
      <c r="T61" s="17" t="s">
        <v>75</v>
      </c>
      <c r="U61" s="18">
        <v>2012</v>
      </c>
      <c r="V61" s="18">
        <v>2013</v>
      </c>
      <c r="W61" s="18">
        <v>2014</v>
      </c>
      <c r="X61" s="18">
        <v>2015</v>
      </c>
      <c r="Y61" s="18">
        <v>2016</v>
      </c>
      <c r="Z61" s="18">
        <v>2017</v>
      </c>
      <c r="AA61" s="18">
        <v>2018</v>
      </c>
      <c r="AB61" s="18">
        <v>2019</v>
      </c>
      <c r="AC61" s="18">
        <v>2020</v>
      </c>
      <c r="AD61" s="18">
        <v>2021</v>
      </c>
      <c r="AE61" s="18">
        <v>2022</v>
      </c>
      <c r="AF61" s="19">
        <v>2023</v>
      </c>
    </row>
    <row r="62" spans="19:32">
      <c r="T62" s="23" t="s">
        <v>20</v>
      </c>
      <c r="U62" s="26">
        <f t="shared" ref="U62:AF62" si="28">(U6+U7)/U8</f>
        <v>1.2766271510391758</v>
      </c>
      <c r="V62" s="26">
        <f t="shared" si="28"/>
        <v>1.2535447813201352</v>
      </c>
      <c r="W62" s="26">
        <f t="shared" si="28"/>
        <v>1.285713856721566</v>
      </c>
      <c r="X62" s="26">
        <f t="shared" si="28"/>
        <v>1.2638001440600619</v>
      </c>
      <c r="Y62" s="26">
        <f t="shared" si="28"/>
        <v>1.2821731355439723</v>
      </c>
      <c r="Z62" s="26">
        <f t="shared" si="28"/>
        <v>1.3332862558998742</v>
      </c>
      <c r="AA62" s="26">
        <f t="shared" si="28"/>
        <v>1.3467908783224385</v>
      </c>
      <c r="AB62" s="26">
        <f t="shared" si="28"/>
        <v>1.3480241202524683</v>
      </c>
      <c r="AC62" s="26">
        <f t="shared" si="28"/>
        <v>1.3863062973533498</v>
      </c>
      <c r="AD62" s="26">
        <f t="shared" si="28"/>
        <v>1.4548262515373789</v>
      </c>
      <c r="AE62" s="26">
        <f t="shared" si="28"/>
        <v>1.5806324509260317</v>
      </c>
      <c r="AF62" s="26">
        <f t="shared" si="28"/>
        <v>1.503418720310421</v>
      </c>
    </row>
    <row r="63" spans="19:32">
      <c r="T63" s="23" t="s">
        <v>23</v>
      </c>
      <c r="U63" s="26">
        <f t="shared" ref="U63:AF63" si="29">(U15+U16)/U17</f>
        <v>1.1131767129749981</v>
      </c>
      <c r="V63" s="26">
        <f t="shared" si="29"/>
        <v>1.2389515130404134</v>
      </c>
      <c r="W63" s="26">
        <f t="shared" si="29"/>
        <v>1.1399889831970758</v>
      </c>
      <c r="X63" s="26">
        <f t="shared" si="29"/>
        <v>1.1713848221887198</v>
      </c>
      <c r="Y63" s="26">
        <f t="shared" si="29"/>
        <v>1.2126328137565421</v>
      </c>
      <c r="Z63" s="26">
        <f t="shared" si="29"/>
        <v>1.1917639943116223</v>
      </c>
      <c r="AA63" s="26">
        <f t="shared" si="29"/>
        <v>1.1839240400956998</v>
      </c>
      <c r="AB63" s="26">
        <f t="shared" si="29"/>
        <v>1.1676240470843784</v>
      </c>
      <c r="AC63" s="26">
        <f t="shared" si="29"/>
        <v>1.1417016549610559</v>
      </c>
      <c r="AD63" s="26">
        <f t="shared" si="29"/>
        <v>1.1913153941453676</v>
      </c>
      <c r="AE63" s="26">
        <f t="shared" si="29"/>
        <v>1.2250955659055207</v>
      </c>
      <c r="AF63" s="26">
        <f t="shared" si="29"/>
        <v>1.2359616800353226</v>
      </c>
    </row>
    <row r="66" spans="1:4">
      <c r="A66" t="s">
        <v>76</v>
      </c>
      <c r="D66" t="s">
        <v>77</v>
      </c>
    </row>
    <row r="83" spans="1:21">
      <c r="A83" t="s">
        <v>78</v>
      </c>
      <c r="D83" t="s">
        <v>77</v>
      </c>
    </row>
    <row r="84" spans="1:21">
      <c r="B84" t="s">
        <v>69</v>
      </c>
      <c r="I84" t="s">
        <v>70</v>
      </c>
      <c r="U84" t="s">
        <v>79</v>
      </c>
    </row>
    <row r="102" spans="1:4">
      <c r="D102" t="s">
        <v>77</v>
      </c>
    </row>
    <row r="103" spans="1:4">
      <c r="A103" t="s">
        <v>80</v>
      </c>
    </row>
    <row r="121" spans="4:4">
      <c r="D121" t="s">
        <v>77</v>
      </c>
    </row>
  </sheetData>
  <pageMargins left="0.7" right="0.7" top="0.75" bottom="0.75" header="0.3" footer="0.3"/>
  <pageSetup paperSize="9" orientation="portrait"/>
  <drawing r:id="rId1"/>
  <tableParts count="1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7</vt:i4>
      </vt:variant>
    </vt:vector>
  </HeadingPairs>
  <TitlesOfParts>
    <vt:vector size="7" baseType="lpstr">
      <vt:lpstr>Tabla2</vt:lpstr>
      <vt:lpstr>Tabla7</vt:lpstr>
      <vt:lpstr>Tabla13</vt:lpstr>
      <vt:lpstr>Tabla17</vt:lpstr>
      <vt:lpstr>Tabla21</vt:lpstr>
      <vt:lpstr>Hoja1</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YANAOURI YANAOURI</cp:lastModifiedBy>
  <dcterms:created xsi:type="dcterms:W3CDTF">2025-11-17T16:12:14Z</dcterms:created>
  <dcterms:modified xsi:type="dcterms:W3CDTF">2026-10-24T10:16:44Z</dcterms:modified>
</cp:coreProperties>
</file>